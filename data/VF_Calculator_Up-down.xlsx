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ate1904="1"/>
  <mc:AlternateContent xmlns:mc="http://schemas.openxmlformats.org/markup-compatibility/2006">
    <mc:Choice Requires="x15">
      <x15ac:absPath xmlns:x15ac="http://schemas.microsoft.com/office/spreadsheetml/2010/11/ac" url="S:\Shared\lab_members\sandovalortega_raqueladaia\Projects\2024_CL_constitutive_inhibition_pain_TRAPped_cells\"/>
    </mc:Choice>
  </mc:AlternateContent>
  <xr:revisionPtr revIDLastSave="0" documentId="13_ncr:1_{FAD307E1-F3F2-4D84-9C2B-4B698AE992EC}" xr6:coauthVersionLast="47" xr6:coauthVersionMax="47" xr10:uidLastSave="{00000000-0000-0000-0000-000000000000}"/>
  <bookViews>
    <workbookView xWindow="33885" yWindow="570" windowWidth="21600" windowHeight="13635" xr2:uid="{00000000-000D-0000-FFFF-FFFF00000000}"/>
  </bookViews>
  <sheets>
    <sheet name="values_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7" i="1"/>
  <c r="I6" i="1"/>
  <c r="I5" i="1"/>
  <c r="I4" i="1"/>
  <c r="I3" i="1"/>
  <c r="I2" i="1"/>
  <c r="I10" i="1"/>
  <c r="E6" i="1"/>
  <c r="E2" i="1"/>
  <c r="E3" i="1"/>
  <c r="D2" i="1"/>
  <c r="E5" i="1"/>
  <c r="E4" i="1"/>
  <c r="E9" i="1"/>
</calcChain>
</file>

<file path=xl/sharedStrings.xml><?xml version="1.0" encoding="utf-8"?>
<sst xmlns="http://schemas.openxmlformats.org/spreadsheetml/2006/main" count="273" uniqueCount="271">
  <si>
    <t>OBSERVATION</t>
  </si>
  <si>
    <t>STATISTIC</t>
  </si>
  <si>
    <t>OX</t>
  </si>
  <si>
    <t>OOX</t>
  </si>
  <si>
    <t>OOOX</t>
  </si>
  <si>
    <t>OOOOX</t>
  </si>
  <si>
    <t>OXO</t>
  </si>
  <si>
    <t>OOXO</t>
  </si>
  <si>
    <t>OOOXO</t>
  </si>
  <si>
    <t>OOOOXO</t>
  </si>
  <si>
    <t>OXX</t>
  </si>
  <si>
    <t>OOXX</t>
  </si>
  <si>
    <t>OOOXX</t>
  </si>
  <si>
    <t>OOOOXX</t>
  </si>
  <si>
    <t>OXOO</t>
  </si>
  <si>
    <t>OOXOO</t>
  </si>
  <si>
    <t>OOOXOO</t>
  </si>
  <si>
    <t>OOOOXOO</t>
  </si>
  <si>
    <t>OXOX</t>
  </si>
  <si>
    <t>OOXOX</t>
  </si>
  <si>
    <t>OOOXOX</t>
  </si>
  <si>
    <t>OOOOXOX</t>
  </si>
  <si>
    <t>OXXO</t>
  </si>
  <si>
    <t>OOXXO</t>
  </si>
  <si>
    <t>OOOXXO</t>
  </si>
  <si>
    <t>OOOOXXO</t>
  </si>
  <si>
    <t>OXXX</t>
  </si>
  <si>
    <t>OOXXX</t>
  </si>
  <si>
    <t>OOOXXX</t>
  </si>
  <si>
    <t>OOOOXXX</t>
  </si>
  <si>
    <t>OXOOO</t>
  </si>
  <si>
    <t>OOXOOO</t>
  </si>
  <si>
    <t>OOOXOOO</t>
  </si>
  <si>
    <t>OOOOXOOO</t>
  </si>
  <si>
    <t>OXOOX</t>
  </si>
  <si>
    <t>OOXOOX</t>
  </si>
  <si>
    <t>OOOXOOX</t>
  </si>
  <si>
    <t>OOOOXOOX</t>
  </si>
  <si>
    <t>OXOXO</t>
  </si>
  <si>
    <t>OOXOXO</t>
  </si>
  <si>
    <t>OOOXOXO</t>
  </si>
  <si>
    <t>OOOOXOXO</t>
  </si>
  <si>
    <t>OXOXX</t>
  </si>
  <si>
    <t>OOXOXX</t>
  </si>
  <si>
    <t>OOOXOXX</t>
  </si>
  <si>
    <t>OOOOXOXX</t>
  </si>
  <si>
    <t>OXXOO</t>
  </si>
  <si>
    <t>OOXXOO</t>
  </si>
  <si>
    <t>OOOXXOO</t>
  </si>
  <si>
    <t>OOOOXXOO</t>
  </si>
  <si>
    <t>OXXOX</t>
  </si>
  <si>
    <t>OOXXOX</t>
  </si>
  <si>
    <t>OOOXXOX</t>
  </si>
  <si>
    <t>OOOOXXOX</t>
  </si>
  <si>
    <t>OXXXO</t>
  </si>
  <si>
    <t>OOXXXO</t>
  </si>
  <si>
    <t>OOOXXXO</t>
  </si>
  <si>
    <t>OOOOXXXO</t>
  </si>
  <si>
    <t>OXXXX</t>
  </si>
  <si>
    <t>OOXXXX</t>
  </si>
  <si>
    <t>OOOXXXX</t>
  </si>
  <si>
    <t>OOOOXXXX</t>
  </si>
  <si>
    <t>OXOOOO</t>
  </si>
  <si>
    <t>OOXOOOO</t>
  </si>
  <si>
    <t>OOOXOOOO</t>
  </si>
  <si>
    <t>OOOOXOOOO</t>
  </si>
  <si>
    <t>OXOOOX</t>
  </si>
  <si>
    <t>OOXOOOX</t>
  </si>
  <si>
    <t>OOOXOOOX</t>
  </si>
  <si>
    <t>OOOOXOOOX</t>
  </si>
  <si>
    <t>OXOOXO</t>
  </si>
  <si>
    <t>OOXOOXO</t>
  </si>
  <si>
    <t>OOOXOOXO</t>
  </si>
  <si>
    <t>OOOOXOOXO</t>
  </si>
  <si>
    <t>OXOOXX</t>
  </si>
  <si>
    <t>OOXOOXX</t>
  </si>
  <si>
    <t>OOOXOOXX</t>
  </si>
  <si>
    <t>OOOOXOOXX</t>
  </si>
  <si>
    <t>OXOXOO</t>
  </si>
  <si>
    <t>OOXOXOO</t>
  </si>
  <si>
    <t>OOOXOXOO</t>
  </si>
  <si>
    <t>OOOOXOXOO</t>
  </si>
  <si>
    <t>OXOXOX</t>
  </si>
  <si>
    <t>OOXOXOX</t>
  </si>
  <si>
    <t>OOOXOXOX</t>
  </si>
  <si>
    <t>OOOOXOXOX</t>
  </si>
  <si>
    <t>OXOXXO</t>
  </si>
  <si>
    <t>OOXOXXO</t>
  </si>
  <si>
    <t>OOOXOXXO</t>
  </si>
  <si>
    <t>OOOOXOXXO</t>
  </si>
  <si>
    <t>OXOXXX</t>
  </si>
  <si>
    <t>OOXOXXX</t>
  </si>
  <si>
    <t>OOOXOXXX</t>
  </si>
  <si>
    <t>OOOOXOXXX</t>
  </si>
  <si>
    <t>OXXOOO</t>
  </si>
  <si>
    <t>OOXXOOO</t>
  </si>
  <si>
    <t>OOOXXOOO</t>
  </si>
  <si>
    <t>OOOOXXOOO</t>
  </si>
  <si>
    <t>OXXOOX</t>
  </si>
  <si>
    <t>OOXXOOX</t>
  </si>
  <si>
    <t>OOOXXOOX</t>
  </si>
  <si>
    <t>OOOOXXOOX</t>
  </si>
  <si>
    <t>OXXOXO</t>
  </si>
  <si>
    <t>OOXXOXO</t>
  </si>
  <si>
    <t>OOOXXOXO</t>
  </si>
  <si>
    <t>OOOOXXOXO</t>
  </si>
  <si>
    <t>OXXOXX</t>
  </si>
  <si>
    <t>OOXXOXX</t>
  </si>
  <si>
    <t>OOOXXOXX</t>
  </si>
  <si>
    <t>OOOOXXOXX</t>
  </si>
  <si>
    <t>OXXXOO</t>
  </si>
  <si>
    <t>OOXXXOO</t>
  </si>
  <si>
    <t>OOOXXXOO</t>
  </si>
  <si>
    <t>OOOOXXXOO</t>
  </si>
  <si>
    <t>OXXXOX</t>
  </si>
  <si>
    <t>OOXXXOX</t>
  </si>
  <si>
    <t>OOOXXXOX</t>
  </si>
  <si>
    <t>OOOOXXXOX</t>
  </si>
  <si>
    <t>OXXXXO</t>
  </si>
  <si>
    <t>OOXXXXO</t>
  </si>
  <si>
    <t>OOOXXXXO</t>
  </si>
  <si>
    <t>OOOOXXXXO</t>
  </si>
  <si>
    <t>OXXXXX</t>
  </si>
  <si>
    <t>OOXXXXX</t>
  </si>
  <si>
    <t>OOOXXXXX</t>
  </si>
  <si>
    <t>OOOOXXXXX</t>
  </si>
  <si>
    <t>XO</t>
  </si>
  <si>
    <t>XXO</t>
  </si>
  <si>
    <t>XXXO</t>
  </si>
  <si>
    <t>XXXXO</t>
  </si>
  <si>
    <t>XOX</t>
  </si>
  <si>
    <t>XXOX</t>
  </si>
  <si>
    <t>XXXOX</t>
  </si>
  <si>
    <t>XXXXOX</t>
  </si>
  <si>
    <t>XOO</t>
  </si>
  <si>
    <t>XXOO</t>
  </si>
  <si>
    <t>XXXOO</t>
  </si>
  <si>
    <t>XXXXOO</t>
  </si>
  <si>
    <t>XOXX</t>
  </si>
  <si>
    <t>XXOXX</t>
  </si>
  <si>
    <t>XXXOXX</t>
  </si>
  <si>
    <t>XXXXOXX</t>
  </si>
  <si>
    <t>XOXO</t>
  </si>
  <si>
    <t>XXOXO</t>
  </si>
  <si>
    <t>XXXOXO</t>
  </si>
  <si>
    <t>XXXXOXO</t>
  </si>
  <si>
    <t>XOOX</t>
  </si>
  <si>
    <t>XXOOX</t>
  </si>
  <si>
    <t>XXXOOX</t>
  </si>
  <si>
    <t>XXXXOOX</t>
  </si>
  <si>
    <t>XOOO</t>
  </si>
  <si>
    <t>XXOOO</t>
  </si>
  <si>
    <t>XXXOOO</t>
  </si>
  <si>
    <t>XXXXOOO</t>
  </si>
  <si>
    <t>XOXXX</t>
  </si>
  <si>
    <t>XXOXXX</t>
  </si>
  <si>
    <t>XXXOXXX</t>
  </si>
  <si>
    <t>XXXXOXXX</t>
  </si>
  <si>
    <t>XOXXO</t>
  </si>
  <si>
    <t>XXOXXO</t>
  </si>
  <si>
    <t>XXXOXXO</t>
  </si>
  <si>
    <t>XXXXOXXO</t>
  </si>
  <si>
    <t>XOXOX</t>
  </si>
  <si>
    <t>XXOXOX</t>
  </si>
  <si>
    <t>XXXOXOX</t>
  </si>
  <si>
    <t>XXXXOXOX</t>
  </si>
  <si>
    <t>XOXOO</t>
  </si>
  <si>
    <t>XXOXOO</t>
  </si>
  <si>
    <t>XXXOXOO</t>
  </si>
  <si>
    <t>XXXXOXOO</t>
  </si>
  <si>
    <t>XOOXX</t>
  </si>
  <si>
    <t>XXOOXX</t>
  </si>
  <si>
    <t>XXXOOXX</t>
  </si>
  <si>
    <t>XXXXOOXX</t>
  </si>
  <si>
    <t>XOOXO</t>
  </si>
  <si>
    <t>XXOOXO</t>
  </si>
  <si>
    <t>XXXOOXO</t>
  </si>
  <si>
    <t>XXXXOOXO</t>
  </si>
  <si>
    <t>XOOOX</t>
  </si>
  <si>
    <t>XXOOOX</t>
  </si>
  <si>
    <t>XXXOOOX</t>
  </si>
  <si>
    <t>XXXXOOOX</t>
  </si>
  <si>
    <t>XOOOO</t>
  </si>
  <si>
    <t>XXOOOO</t>
  </si>
  <si>
    <t>XXXOOOO</t>
  </si>
  <si>
    <t>XXXXOOOO</t>
  </si>
  <si>
    <t>XOXXXX</t>
  </si>
  <si>
    <t>XXOXXXX</t>
  </si>
  <si>
    <t>XXXOXXXX</t>
  </si>
  <si>
    <t>XXXXOXXXX</t>
  </si>
  <si>
    <t>XOXXXO</t>
  </si>
  <si>
    <t>XXOXXXO</t>
  </si>
  <si>
    <t>XXXOXXXO</t>
  </si>
  <si>
    <t>XXXXOXXXO</t>
  </si>
  <si>
    <t>XOXXOX</t>
  </si>
  <si>
    <t>XXOXXOX</t>
  </si>
  <si>
    <t>XXXOXXOX</t>
  </si>
  <si>
    <t>XXXXOXXOX</t>
  </si>
  <si>
    <t>XOXXOO</t>
  </si>
  <si>
    <t>XXOXXOO</t>
  </si>
  <si>
    <t>XXXOXXOO</t>
  </si>
  <si>
    <t>XXXXOXXOO</t>
  </si>
  <si>
    <t>XOXOXX</t>
  </si>
  <si>
    <t>XXOXOXX</t>
  </si>
  <si>
    <t>XXXOXOXX</t>
  </si>
  <si>
    <t>XXXXOXOXX</t>
  </si>
  <si>
    <t>XOXOXO</t>
  </si>
  <si>
    <t>XXOXOXO</t>
  </si>
  <si>
    <t>XXXOXOXO</t>
  </si>
  <si>
    <t>XXXXOXOXO</t>
  </si>
  <si>
    <t>XOXOOX</t>
  </si>
  <si>
    <t>XXOXOOX</t>
  </si>
  <si>
    <t>XXXOXOOX</t>
  </si>
  <si>
    <t>XXXXOXOOX</t>
  </si>
  <si>
    <t>XOXOOO</t>
  </si>
  <si>
    <t>XXOXOOO</t>
  </si>
  <si>
    <t>XXXOXOOO</t>
  </si>
  <si>
    <t>XXXXOXOOO</t>
  </si>
  <si>
    <t>XOOXXX</t>
  </si>
  <si>
    <t>XXOOXXX</t>
  </si>
  <si>
    <t>XXXOOXXX</t>
  </si>
  <si>
    <t>XXXXOOXXX</t>
  </si>
  <si>
    <t>XOOXXO</t>
  </si>
  <si>
    <t>XXOOXXO</t>
  </si>
  <si>
    <t>XXXOOXXO</t>
  </si>
  <si>
    <t>XXXXOOXXO</t>
  </si>
  <si>
    <t>XOOXOX</t>
  </si>
  <si>
    <t>XXOOXOX</t>
  </si>
  <si>
    <t>XXXOOXOX</t>
  </si>
  <si>
    <t>XXXXOOXOX</t>
  </si>
  <si>
    <t>XOOXOO</t>
  </si>
  <si>
    <t>XXOOXOO</t>
  </si>
  <si>
    <t>XXXOOXOO</t>
  </si>
  <si>
    <t>XXXXOOXOO</t>
  </si>
  <si>
    <t>XOOOXX</t>
  </si>
  <si>
    <t>XXOOOXX</t>
  </si>
  <si>
    <t>XXXOOOXX</t>
  </si>
  <si>
    <t>XXXXOOOXX</t>
  </si>
  <si>
    <t>XOOOXO</t>
  </si>
  <si>
    <t>XXOOOXO</t>
  </si>
  <si>
    <t>XXXOOOXO</t>
  </si>
  <si>
    <t>XXXXOOOXO</t>
  </si>
  <si>
    <t>XOOOOX</t>
  </si>
  <si>
    <t>XXOOOOX</t>
  </si>
  <si>
    <t>XXXOOOOX</t>
  </si>
  <si>
    <t>XXXXOOOOX</t>
  </si>
  <si>
    <t>XOOOOO</t>
  </si>
  <si>
    <t>XXOOOOO</t>
  </si>
  <si>
    <t>XXXOOOOO</t>
  </si>
  <si>
    <t>XXXXOOOOO</t>
  </si>
  <si>
    <t>Log</t>
  </si>
  <si>
    <t>Number</t>
  </si>
  <si>
    <t>FILAMENT NUMBER:</t>
  </si>
  <si>
    <t>ENTER XO SERIES:</t>
  </si>
  <si>
    <r>
      <t>INTERVAL(</t>
    </r>
    <r>
      <rPr>
        <b/>
        <sz val="10"/>
        <rFont val="Times New Roman"/>
        <family val="1"/>
      </rPr>
      <t>δ</t>
    </r>
    <r>
      <rPr>
        <b/>
        <sz val="10"/>
        <rFont val="Arial"/>
        <family val="2"/>
      </rPr>
      <t>):</t>
    </r>
  </si>
  <si>
    <t xml:space="preserve"> Xf:</t>
  </si>
  <si>
    <t>STATISTIC (k):</t>
  </si>
  <si>
    <r>
      <t>Xf + k</t>
    </r>
    <r>
      <rPr>
        <b/>
        <sz val="10"/>
        <rFont val="Times New Roman"/>
        <family val="1"/>
      </rPr>
      <t>δ:</t>
    </r>
  </si>
  <si>
    <t>Force (g)</t>
  </si>
  <si>
    <t>Difference</t>
  </si>
  <si>
    <t>Marking</t>
  </si>
  <si>
    <t>Interval:</t>
  </si>
  <si>
    <r>
      <t>50% g Threshold:</t>
    </r>
    <r>
      <rPr>
        <b/>
        <sz val="10"/>
        <rFont val="Symbol"/>
        <family val="1"/>
        <charset val="2"/>
      </rPr>
      <t>ÞÞ</t>
    </r>
  </si>
  <si>
    <r>
      <t>δ</t>
    </r>
    <r>
      <rPr>
        <sz val="10"/>
        <rFont val="Arial"/>
        <family val="2"/>
      </rPr>
      <t xml:space="preserve"> = mean difference (in log units) between stimuli</t>
    </r>
  </si>
  <si>
    <t>positive and negative responses</t>
  </si>
  <si>
    <r>
      <t>50% g Threshold</t>
    </r>
    <r>
      <rPr>
        <sz val="10"/>
        <rFont val="Arial"/>
        <family val="2"/>
      </rPr>
      <t xml:space="preserve"> = (10</t>
    </r>
    <r>
      <rPr>
        <vertAlign val="superscript"/>
        <sz val="10"/>
        <rFont val="Arial"/>
        <family val="2"/>
      </rPr>
      <t>Xf  +k</t>
    </r>
    <r>
      <rPr>
        <vertAlign val="superscript"/>
        <sz val="10"/>
        <rFont val="Times New Roman"/>
        <family val="1"/>
      </rPr>
      <t>δ</t>
    </r>
    <r>
      <rPr>
        <sz val="10"/>
        <rFont val="Arial"/>
        <family val="2"/>
      </rPr>
      <t>)/10,000</t>
    </r>
  </si>
  <si>
    <r>
      <t>Log</t>
    </r>
    <r>
      <rPr>
        <sz val="10"/>
        <rFont val="Arial"/>
        <family val="2"/>
      </rPr>
      <t xml:space="preserve"> = Log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 xml:space="preserve"> [10*Force (mg)]</t>
    </r>
  </si>
  <si>
    <r>
      <t>Force (g)</t>
    </r>
    <r>
      <rPr>
        <sz val="10"/>
        <rFont val="Arial"/>
        <family val="2"/>
      </rPr>
      <t xml:space="preserve"> = Antilog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 xml:space="preserve"> (Log)/10,000</t>
    </r>
  </si>
  <si>
    <r>
      <t>Xf</t>
    </r>
    <r>
      <rPr>
        <sz val="10"/>
        <rFont val="Arial"/>
        <family val="2"/>
      </rPr>
      <t xml:space="preserve"> = value (in log units) of final von Frey hair used</t>
    </r>
  </si>
  <si>
    <r>
      <t>k</t>
    </r>
    <r>
      <rPr>
        <sz val="10"/>
        <rFont val="Arial"/>
        <family val="2"/>
      </rPr>
      <t xml:space="preserve"> = tabular vlaue for the pattern of</t>
    </r>
  </si>
  <si>
    <t>oxooxx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</si>
</sst>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>
    <font>
      <sz val="10"/>
      <name val="Geneva"/>
      <charset val="1"/>
    </font>
    <font>
      <sz val="8"/>
      <name val="Geneva"/>
      <charset val="1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sz val="10"/>
      <name val="Times New Roman"/>
      <family val="1"/>
    </font>
    <font>
      <b/>
      <sz val="10"/>
      <name val="Symbol"/>
      <family val="1"/>
      <charset val="2"/>
    </font>
    <font>
      <vertAlign val="superscript"/>
      <sz val="10"/>
      <name val="Arial"/>
      <family val="2"/>
    </font>
    <font>
      <vertAlign val="superscript"/>
      <sz val="10"/>
      <name val="Times New Roman"/>
      <family val="1"/>
    </font>
    <font>
      <vertAlign val="subscript"/>
      <sz val="10"/>
      <name val="Arial"/>
      <family val="2"/>
    </font>
    <font>
      <b/>
      <sz val="12"/>
      <name val="Arial"/>
      <family val="2"/>
    </font>
    <font>
      <b/>
      <shadow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mediumDashed">
        <color indexed="64"/>
      </left>
      <right style="mediumDashed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2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164" fontId="12" fillId="2" borderId="1" xfId="0" applyNumberFormat="1" applyFont="1" applyFill="1" applyBorder="1" applyAlignment="1">
      <alignment horizontal="right"/>
    </xf>
    <xf numFmtId="0" fontId="11" fillId="3" borderId="2" xfId="0" applyFont="1" applyFill="1" applyBorder="1" applyAlignment="1" applyProtection="1">
      <alignment horizontal="right"/>
      <protection locked="0"/>
    </xf>
    <xf numFmtId="1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9"/>
  <sheetViews>
    <sheetView tabSelected="1" workbookViewId="0">
      <selection activeCell="E8" sqref="E8"/>
    </sheetView>
  </sheetViews>
  <sheetFormatPr defaultColWidth="9.42578125" defaultRowHeight="17.100000000000001" customHeight="1"/>
  <cols>
    <col min="1" max="1" width="14.42578125" style="1" customWidth="1"/>
    <col min="2" max="2" width="10" style="1" customWidth="1"/>
    <col min="3" max="3" width="3.85546875" style="1" customWidth="1"/>
    <col min="4" max="4" width="28.140625" style="1" customWidth="1"/>
    <col min="5" max="5" width="14.42578125" style="1" customWidth="1"/>
    <col min="6" max="6" width="4" style="1" customWidth="1"/>
    <col min="7" max="10" width="9.42578125" style="1" customWidth="1"/>
    <col min="11" max="11" width="9.28515625" style="1" customWidth="1"/>
    <col min="12" max="16384" width="9.42578125" style="1"/>
  </cols>
  <sheetData>
    <row r="1" spans="1:19" ht="17.100000000000001" customHeight="1">
      <c r="A1" s="1" t="s">
        <v>0</v>
      </c>
      <c r="B1" s="2" t="s">
        <v>1</v>
      </c>
      <c r="C1" s="2"/>
      <c r="D1" s="1" t="s">
        <v>251</v>
      </c>
      <c r="E1" s="2" t="s">
        <v>0</v>
      </c>
      <c r="G1" s="10" t="s">
        <v>251</v>
      </c>
      <c r="H1" s="10" t="s">
        <v>250</v>
      </c>
      <c r="I1" s="10" t="s">
        <v>259</v>
      </c>
      <c r="J1" s="10" t="s">
        <v>258</v>
      </c>
      <c r="K1" s="11" t="s">
        <v>260</v>
      </c>
    </row>
    <row r="2" spans="1:19" ht="17.100000000000001" customHeight="1">
      <c r="A2" s="1" t="s">
        <v>2</v>
      </c>
      <c r="B2" s="2">
        <v>-0.5</v>
      </c>
      <c r="C2" s="2"/>
      <c r="D2" s="1" t="str">
        <f>"="&amp;E8</f>
        <v>=5</v>
      </c>
      <c r="E2" s="22" t="str">
        <f>"="&amp;E7</f>
        <v>=oxooxx</v>
      </c>
      <c r="G2" s="9">
        <v>1</v>
      </c>
      <c r="H2" s="9">
        <v>1.65</v>
      </c>
      <c r="I2" s="9">
        <f t="shared" ref="I2:I8" si="0">H3-H2</f>
        <v>0.71</v>
      </c>
      <c r="J2" s="9">
        <v>4.4999999999999997E-3</v>
      </c>
      <c r="K2" s="18">
        <v>8.0000000000000002E-3</v>
      </c>
      <c r="M2" s="2"/>
    </row>
    <row r="3" spans="1:19" ht="17.100000000000001" customHeight="1">
      <c r="A3" s="1" t="s">
        <v>3</v>
      </c>
      <c r="B3" s="2">
        <v>-0.38800000000000001</v>
      </c>
      <c r="C3" s="2"/>
      <c r="D3" s="3" t="s">
        <v>256</v>
      </c>
      <c r="E3" s="2">
        <f>DGET(A1:B250,"STATISTIC",E1:E2)</f>
        <v>-0.16900000000000001</v>
      </c>
      <c r="F3" s="3"/>
      <c r="G3" s="9">
        <v>2</v>
      </c>
      <c r="H3" s="9">
        <v>2.36</v>
      </c>
      <c r="I3" s="9">
        <f t="shared" si="0"/>
        <v>0.4700000000000002</v>
      </c>
      <c r="J3" s="17">
        <v>2.3E-2</v>
      </c>
      <c r="K3" s="18">
        <v>0.02</v>
      </c>
      <c r="M3" s="2"/>
    </row>
    <row r="4" spans="1:19" ht="17.100000000000001" customHeight="1">
      <c r="A4" s="1" t="s">
        <v>4</v>
      </c>
      <c r="B4" s="2">
        <v>-0.378</v>
      </c>
      <c r="C4" s="2"/>
      <c r="D4" s="3" t="s">
        <v>257</v>
      </c>
      <c r="E4" s="2">
        <f>E5+(E3*E6)</f>
        <v>3.5353985714285714</v>
      </c>
      <c r="F4" s="3"/>
      <c r="G4" s="9">
        <v>3</v>
      </c>
      <c r="H4" s="9">
        <v>2.83</v>
      </c>
      <c r="I4" s="9">
        <f t="shared" si="0"/>
        <v>0.39000000000000012</v>
      </c>
      <c r="J4" s="9">
        <v>6.8000000000000005E-2</v>
      </c>
      <c r="K4" s="18">
        <v>7.0000000000000007E-2</v>
      </c>
      <c r="M4" s="2"/>
    </row>
    <row r="5" spans="1:19" ht="17.100000000000001" customHeight="1">
      <c r="A5" s="1" t="s">
        <v>5</v>
      </c>
      <c r="B5" s="2">
        <v>-0.377</v>
      </c>
      <c r="C5" s="2"/>
      <c r="D5" s="4" t="s">
        <v>255</v>
      </c>
      <c r="E5" s="1">
        <f>DGET(G1:H9,"Log",D1:D2)</f>
        <v>3.61</v>
      </c>
      <c r="F5" s="4"/>
      <c r="G5" s="9">
        <v>4</v>
      </c>
      <c r="H5" s="9">
        <v>3.22</v>
      </c>
      <c r="I5" s="9">
        <f t="shared" si="0"/>
        <v>0.38999999999999968</v>
      </c>
      <c r="J5" s="9">
        <v>0.158</v>
      </c>
      <c r="K5" s="18">
        <v>0.16</v>
      </c>
      <c r="M5" s="2"/>
    </row>
    <row r="6" spans="1:19" ht="17.100000000000001" customHeight="1">
      <c r="A6" s="1" t="s">
        <v>6</v>
      </c>
      <c r="B6" s="2">
        <v>0.84199999999999997</v>
      </c>
      <c r="C6" s="2"/>
      <c r="D6" s="3" t="s">
        <v>254</v>
      </c>
      <c r="E6" s="1">
        <f>I10</f>
        <v>0.44142857142857145</v>
      </c>
      <c r="F6" s="3"/>
      <c r="G6" s="9">
        <v>5</v>
      </c>
      <c r="H6" s="9">
        <v>3.61</v>
      </c>
      <c r="I6" s="9">
        <f t="shared" si="0"/>
        <v>0.4700000000000002</v>
      </c>
      <c r="J6" s="9">
        <v>0.17799999999999999</v>
      </c>
      <c r="K6" s="18">
        <v>0.4</v>
      </c>
      <c r="M6" s="2"/>
    </row>
    <row r="7" spans="1:19" ht="17.100000000000001" customHeight="1">
      <c r="A7" s="1" t="s">
        <v>7</v>
      </c>
      <c r="B7" s="2">
        <v>0.89</v>
      </c>
      <c r="C7" s="2"/>
      <c r="D7" s="3" t="s">
        <v>253</v>
      </c>
      <c r="E7" s="21" t="s">
        <v>270</v>
      </c>
      <c r="F7" s="3"/>
      <c r="G7" s="9">
        <v>6</v>
      </c>
      <c r="H7" s="9">
        <v>4.08</v>
      </c>
      <c r="I7" s="9">
        <f t="shared" si="0"/>
        <v>0.22999999999999954</v>
      </c>
      <c r="J7" s="17">
        <v>1.202</v>
      </c>
      <c r="K7" s="18">
        <v>1</v>
      </c>
      <c r="M7" s="2"/>
    </row>
    <row r="8" spans="1:19" ht="17.100000000000001" customHeight="1">
      <c r="A8" s="1" t="s">
        <v>8</v>
      </c>
      <c r="B8" s="2">
        <v>0.89400000000000002</v>
      </c>
      <c r="C8" s="2"/>
      <c r="D8" s="3" t="s">
        <v>252</v>
      </c>
      <c r="E8" s="21">
        <v>5</v>
      </c>
      <c r="G8" s="9">
        <v>7</v>
      </c>
      <c r="H8" s="9">
        <v>4.3099999999999996</v>
      </c>
      <c r="I8" s="9">
        <f t="shared" si="0"/>
        <v>0.4300000000000006</v>
      </c>
      <c r="J8" s="9">
        <v>2.0409999999999999</v>
      </c>
      <c r="K8" s="18">
        <v>2</v>
      </c>
      <c r="M8" s="2"/>
    </row>
    <row r="9" spans="1:19" ht="17.100000000000001" customHeight="1" thickBot="1">
      <c r="A9" s="1" t="s">
        <v>9</v>
      </c>
      <c r="B9" s="2">
        <v>0.89400000000000002</v>
      </c>
      <c r="C9" s="2"/>
      <c r="D9" s="3" t="s">
        <v>262</v>
      </c>
      <c r="E9" s="20">
        <f>(10^(E4))/10000</f>
        <v>0.34308250423500897</v>
      </c>
      <c r="F9" s="5"/>
      <c r="G9" s="9">
        <v>8</v>
      </c>
      <c r="H9" s="9">
        <v>4.74</v>
      </c>
      <c r="I9" s="9"/>
      <c r="J9" s="9">
        <v>5.4950000000000001</v>
      </c>
      <c r="K9" s="18">
        <v>6</v>
      </c>
      <c r="L9" s="4"/>
      <c r="M9" s="4"/>
      <c r="N9" s="4"/>
      <c r="Q9" s="3"/>
    </row>
    <row r="10" spans="1:19" ht="17.100000000000001" customHeight="1">
      <c r="A10" s="1" t="s">
        <v>10</v>
      </c>
      <c r="B10" s="2">
        <v>-0.17799999999999999</v>
      </c>
      <c r="C10" s="2"/>
      <c r="H10" s="1" t="s">
        <v>261</v>
      </c>
      <c r="I10" s="9">
        <f>(I2+I3+I4+I5+I6+I7+I8)/7</f>
        <v>0.44142857142857145</v>
      </c>
      <c r="K10" s="4"/>
      <c r="L10" s="4"/>
      <c r="M10" s="4"/>
      <c r="N10" s="4"/>
      <c r="Q10" s="4"/>
      <c r="R10" s="4"/>
    </row>
    <row r="11" spans="1:19" ht="17.100000000000001" customHeight="1">
      <c r="A11" s="1" t="s">
        <v>11</v>
      </c>
      <c r="B11" s="2">
        <v>0</v>
      </c>
      <c r="C11" s="2"/>
      <c r="D11" s="6"/>
      <c r="L11" s="3"/>
      <c r="M11" s="7"/>
      <c r="N11" s="8"/>
      <c r="O11" s="7"/>
      <c r="P11" s="7"/>
      <c r="Q11" s="8"/>
      <c r="R11" s="8"/>
      <c r="S11" s="7"/>
    </row>
    <row r="12" spans="1:19" ht="17.100000000000001" customHeight="1">
      <c r="A12" s="1" t="s">
        <v>12</v>
      </c>
      <c r="B12" s="2">
        <v>2.5999999999999999E-2</v>
      </c>
      <c r="C12" s="2"/>
      <c r="E12" s="3" t="s">
        <v>265</v>
      </c>
      <c r="G12" s="12"/>
      <c r="K12" s="2"/>
      <c r="L12" s="3"/>
      <c r="M12" s="7"/>
      <c r="N12" s="8"/>
      <c r="O12" s="7"/>
      <c r="P12" s="7"/>
      <c r="Q12" s="8"/>
      <c r="R12" s="8"/>
      <c r="S12" s="7"/>
    </row>
    <row r="13" spans="1:19" ht="17.100000000000001" customHeight="1">
      <c r="A13" s="1" t="s">
        <v>13</v>
      </c>
      <c r="B13" s="2">
        <v>2.8000000000000001E-2</v>
      </c>
      <c r="C13" s="2"/>
      <c r="E13" s="3" t="s">
        <v>266</v>
      </c>
      <c r="G13" s="10"/>
      <c r="H13" s="10"/>
      <c r="I13" s="10"/>
      <c r="J13" s="10"/>
      <c r="K13" s="13"/>
      <c r="L13" s="3"/>
      <c r="M13" s="7"/>
      <c r="N13" s="8"/>
      <c r="O13" s="7"/>
      <c r="P13" s="7"/>
      <c r="Q13" s="8"/>
      <c r="R13" s="8"/>
      <c r="S13" s="7"/>
    </row>
    <row r="14" spans="1:19" ht="17.100000000000001" customHeight="1">
      <c r="A14" s="1" t="s">
        <v>14</v>
      </c>
      <c r="B14" s="2">
        <v>0.29899999999999999</v>
      </c>
      <c r="C14" s="2"/>
      <c r="E14" s="3" t="s">
        <v>267</v>
      </c>
      <c r="G14" s="14"/>
      <c r="H14" s="14"/>
      <c r="I14" s="14"/>
      <c r="J14" s="15"/>
      <c r="K14" s="16"/>
      <c r="L14" s="3"/>
      <c r="M14" s="7"/>
      <c r="N14" s="8"/>
      <c r="O14" s="7"/>
      <c r="P14" s="7"/>
      <c r="Q14" s="8"/>
      <c r="R14" s="8"/>
      <c r="S14" s="7"/>
    </row>
    <row r="15" spans="1:19" ht="17.100000000000001" customHeight="1">
      <c r="A15" s="1" t="s">
        <v>15</v>
      </c>
      <c r="B15" s="2">
        <v>0.314</v>
      </c>
      <c r="C15" s="2"/>
      <c r="E15" s="3" t="s">
        <v>268</v>
      </c>
      <c r="G15" s="14"/>
      <c r="H15" s="14"/>
      <c r="I15" s="14"/>
      <c r="J15" s="15"/>
      <c r="K15" s="16"/>
      <c r="L15" s="3"/>
      <c r="M15" s="7"/>
      <c r="N15" s="8"/>
      <c r="O15" s="7"/>
      <c r="P15" s="7"/>
      <c r="Q15" s="8"/>
      <c r="R15" s="8"/>
      <c r="S15" s="7"/>
    </row>
    <row r="16" spans="1:19" ht="17.100000000000001" customHeight="1">
      <c r="A16" s="1" t="s">
        <v>16</v>
      </c>
      <c r="B16" s="2">
        <v>0.315</v>
      </c>
      <c r="C16" s="2"/>
      <c r="E16" s="19" t="s">
        <v>263</v>
      </c>
      <c r="G16" s="14"/>
      <c r="H16" s="14"/>
      <c r="I16" s="14"/>
      <c r="J16" s="15"/>
      <c r="K16" s="16"/>
      <c r="L16" s="3"/>
      <c r="M16" s="7"/>
      <c r="N16" s="8"/>
      <c r="O16" s="7"/>
      <c r="P16" s="7"/>
      <c r="Q16" s="8"/>
      <c r="R16" s="8"/>
      <c r="S16" s="7"/>
    </row>
    <row r="17" spans="1:19" ht="17.100000000000001" customHeight="1">
      <c r="A17" s="1" t="s">
        <v>17</v>
      </c>
      <c r="B17" s="2">
        <v>0.315</v>
      </c>
      <c r="C17" s="2"/>
      <c r="E17" s="3" t="s">
        <v>269</v>
      </c>
      <c r="G17" s="14"/>
      <c r="H17" s="14"/>
      <c r="I17" s="14"/>
      <c r="J17" s="15"/>
      <c r="K17" s="16"/>
      <c r="L17" s="3"/>
      <c r="M17" s="7"/>
      <c r="N17" s="8"/>
      <c r="O17" s="7"/>
      <c r="P17" s="7"/>
      <c r="Q17" s="8"/>
      <c r="R17" s="8"/>
      <c r="S17" s="7"/>
    </row>
    <row r="18" spans="1:19" ht="17.100000000000001" customHeight="1">
      <c r="A18" s="1" t="s">
        <v>18</v>
      </c>
      <c r="B18" s="2">
        <v>-0.5</v>
      </c>
      <c r="C18" s="2"/>
      <c r="E18" s="1" t="s">
        <v>264</v>
      </c>
      <c r="G18" s="14"/>
      <c r="H18" s="14"/>
      <c r="I18" s="14"/>
      <c r="J18" s="15"/>
      <c r="K18" s="16"/>
      <c r="L18" s="3"/>
      <c r="M18" s="7"/>
      <c r="N18" s="8"/>
      <c r="O18" s="7"/>
      <c r="P18" s="7"/>
      <c r="Q18" s="8"/>
      <c r="R18" s="8"/>
      <c r="S18" s="7"/>
    </row>
    <row r="19" spans="1:19" ht="17.100000000000001" customHeight="1">
      <c r="A19" s="1" t="s">
        <v>19</v>
      </c>
      <c r="B19" s="2">
        <v>-0.439</v>
      </c>
      <c r="C19" s="2"/>
      <c r="G19" s="14"/>
      <c r="H19" s="14"/>
      <c r="I19" s="14"/>
      <c r="J19" s="15"/>
      <c r="K19" s="16"/>
      <c r="M19" s="2"/>
    </row>
    <row r="20" spans="1:19" ht="17.100000000000001" customHeight="1">
      <c r="A20" s="1" t="s">
        <v>20</v>
      </c>
      <c r="B20" s="2">
        <v>-0.432</v>
      </c>
      <c r="C20" s="2"/>
      <c r="G20" s="14"/>
      <c r="H20" s="14"/>
      <c r="I20" s="14"/>
      <c r="J20" s="15"/>
      <c r="K20" s="16"/>
      <c r="M20" s="2"/>
    </row>
    <row r="21" spans="1:19" ht="17.100000000000001" customHeight="1">
      <c r="A21" s="1" t="s">
        <v>21</v>
      </c>
      <c r="B21" s="2">
        <v>-0.432</v>
      </c>
      <c r="C21" s="2"/>
      <c r="G21" s="14"/>
      <c r="H21" s="14"/>
      <c r="I21" s="14"/>
      <c r="J21" s="15"/>
      <c r="K21" s="16"/>
      <c r="M21" s="2"/>
    </row>
    <row r="22" spans="1:19" ht="17.100000000000001" customHeight="1">
      <c r="A22" s="1" t="s">
        <v>22</v>
      </c>
      <c r="B22" s="2">
        <v>1</v>
      </c>
      <c r="C22" s="2"/>
      <c r="G22" s="14"/>
      <c r="I22" s="14"/>
      <c r="J22" s="14"/>
      <c r="K22" s="16"/>
      <c r="M22" s="2"/>
    </row>
    <row r="23" spans="1:19" ht="17.100000000000001" customHeight="1">
      <c r="A23" s="1" t="s">
        <v>23</v>
      </c>
      <c r="B23" s="2">
        <v>1.1220000000000001</v>
      </c>
      <c r="C23" s="2"/>
      <c r="K23" s="2"/>
      <c r="M23" s="2"/>
    </row>
    <row r="24" spans="1:19" ht="17.100000000000001" customHeight="1">
      <c r="A24" s="1" t="s">
        <v>24</v>
      </c>
      <c r="B24" s="2">
        <v>1.139</v>
      </c>
      <c r="C24" s="2"/>
      <c r="K24" s="2"/>
      <c r="M24" s="2"/>
    </row>
    <row r="25" spans="1:19" ht="17.100000000000001" customHeight="1">
      <c r="A25" s="1" t="s">
        <v>25</v>
      </c>
      <c r="B25" s="2">
        <v>1.1399999999999999</v>
      </c>
      <c r="C25" s="2"/>
      <c r="K25" s="2"/>
      <c r="M25" s="2"/>
    </row>
    <row r="26" spans="1:19" ht="17.100000000000001" customHeight="1">
      <c r="A26" s="1" t="s">
        <v>26</v>
      </c>
      <c r="B26" s="2">
        <v>0.19400000000000001</v>
      </c>
      <c r="C26" s="2"/>
      <c r="K26" s="2"/>
      <c r="M26" s="2"/>
    </row>
    <row r="27" spans="1:19" ht="17.100000000000001" customHeight="1">
      <c r="A27" s="1" t="s">
        <v>27</v>
      </c>
      <c r="B27" s="2">
        <v>0.44900000000000001</v>
      </c>
      <c r="C27" s="2"/>
      <c r="K27" s="2"/>
      <c r="M27" s="2"/>
    </row>
    <row r="28" spans="1:19" ht="17.100000000000001" customHeight="1">
      <c r="A28" s="1" t="s">
        <v>28</v>
      </c>
      <c r="B28" s="2">
        <v>0.5</v>
      </c>
      <c r="C28" s="2"/>
      <c r="K28" s="2"/>
      <c r="M28" s="2"/>
    </row>
    <row r="29" spans="1:19" ht="17.100000000000001" customHeight="1">
      <c r="A29" s="1" t="s">
        <v>29</v>
      </c>
      <c r="B29" s="2">
        <v>0.50600000000000001</v>
      </c>
      <c r="C29" s="2"/>
      <c r="K29" s="2"/>
      <c r="M29" s="2"/>
    </row>
    <row r="30" spans="1:19" ht="17.100000000000001" customHeight="1">
      <c r="A30" s="1" t="s">
        <v>30</v>
      </c>
      <c r="B30" s="2">
        <v>-0.157</v>
      </c>
      <c r="C30" s="2"/>
      <c r="K30" s="2"/>
      <c r="M30" s="2"/>
    </row>
    <row r="31" spans="1:19" ht="17.100000000000001" customHeight="1">
      <c r="A31" s="1" t="s">
        <v>31</v>
      </c>
      <c r="B31" s="2">
        <v>-0.154</v>
      </c>
      <c r="C31" s="2"/>
      <c r="K31" s="2"/>
      <c r="M31" s="2"/>
    </row>
    <row r="32" spans="1:19" ht="17.100000000000001" customHeight="1">
      <c r="A32" s="1" t="s">
        <v>32</v>
      </c>
      <c r="B32" s="2">
        <v>-0.154</v>
      </c>
      <c r="C32" s="2"/>
      <c r="K32" s="2"/>
      <c r="M32" s="2"/>
    </row>
    <row r="33" spans="1:13" ht="17.100000000000001" customHeight="1">
      <c r="A33" s="1" t="s">
        <v>33</v>
      </c>
      <c r="B33" s="2">
        <v>-0.154</v>
      </c>
      <c r="C33" s="2"/>
      <c r="K33" s="2"/>
      <c r="M33" s="2"/>
    </row>
    <row r="34" spans="1:13" ht="17.100000000000001" customHeight="1">
      <c r="A34" s="1" t="s">
        <v>34</v>
      </c>
      <c r="B34" s="2">
        <v>-0.878</v>
      </c>
      <c r="C34" s="2"/>
      <c r="K34" s="2"/>
      <c r="M34" s="2"/>
    </row>
    <row r="35" spans="1:13" ht="17.100000000000001" customHeight="1">
      <c r="A35" s="1" t="s">
        <v>35</v>
      </c>
      <c r="B35" s="2">
        <v>-0.86099999999999999</v>
      </c>
      <c r="C35" s="2"/>
      <c r="K35" s="2"/>
      <c r="M35" s="2"/>
    </row>
    <row r="36" spans="1:13" ht="17.100000000000001" customHeight="1">
      <c r="A36" s="1" t="s">
        <v>36</v>
      </c>
      <c r="B36" s="2">
        <v>-0.86</v>
      </c>
      <c r="C36" s="2"/>
      <c r="K36" s="2"/>
      <c r="M36" s="2"/>
    </row>
    <row r="37" spans="1:13" ht="17.100000000000001" customHeight="1">
      <c r="A37" s="1" t="s">
        <v>37</v>
      </c>
      <c r="B37" s="2">
        <v>-0.86</v>
      </c>
      <c r="C37" s="2"/>
      <c r="K37" s="2"/>
      <c r="M37" s="2"/>
    </row>
    <row r="38" spans="1:13" ht="17.100000000000001" customHeight="1">
      <c r="A38" s="1" t="s">
        <v>38</v>
      </c>
      <c r="B38" s="2">
        <v>0.70099999999999996</v>
      </c>
      <c r="C38" s="2"/>
      <c r="K38" s="2"/>
      <c r="M38" s="2"/>
    </row>
    <row r="39" spans="1:13" ht="17.100000000000001" customHeight="1">
      <c r="A39" s="1" t="s">
        <v>39</v>
      </c>
      <c r="B39" s="2">
        <v>0.73699999999999999</v>
      </c>
      <c r="C39" s="2"/>
      <c r="K39" s="2"/>
      <c r="M39" s="2"/>
    </row>
    <row r="40" spans="1:13" ht="17.100000000000001" customHeight="1">
      <c r="A40" s="1" t="s">
        <v>40</v>
      </c>
      <c r="B40" s="2">
        <v>0.74099999999999999</v>
      </c>
      <c r="C40" s="2"/>
      <c r="K40" s="2"/>
      <c r="M40" s="2"/>
    </row>
    <row r="41" spans="1:13" ht="17.100000000000001" customHeight="1">
      <c r="A41" s="1" t="s">
        <v>41</v>
      </c>
      <c r="B41" s="2">
        <v>0.74099999999999999</v>
      </c>
      <c r="C41" s="2"/>
      <c r="K41" s="2"/>
      <c r="M41" s="2"/>
    </row>
    <row r="42" spans="1:13" ht="17.100000000000001" customHeight="1">
      <c r="A42" s="1" t="s">
        <v>42</v>
      </c>
      <c r="B42" s="2">
        <v>8.4000000000000005E-2</v>
      </c>
      <c r="C42" s="2"/>
      <c r="K42" s="2"/>
      <c r="M42" s="2"/>
    </row>
    <row r="43" spans="1:13" ht="17.100000000000001" customHeight="1">
      <c r="A43" s="1" t="s">
        <v>43</v>
      </c>
      <c r="B43" s="2">
        <v>0.16900000000000001</v>
      </c>
      <c r="C43" s="2"/>
      <c r="K43" s="2"/>
      <c r="M43" s="2"/>
    </row>
    <row r="44" spans="1:13" ht="17.100000000000001" customHeight="1">
      <c r="A44" s="1" t="s">
        <v>44</v>
      </c>
      <c r="B44" s="2">
        <v>0.18099999999999999</v>
      </c>
      <c r="C44" s="2"/>
      <c r="K44" s="2"/>
      <c r="M44" s="2"/>
    </row>
    <row r="45" spans="1:13" ht="17.100000000000001" customHeight="1">
      <c r="A45" s="1" t="s">
        <v>45</v>
      </c>
      <c r="B45" s="2">
        <v>0.182</v>
      </c>
      <c r="C45" s="2"/>
      <c r="K45" s="2"/>
      <c r="M45" s="2"/>
    </row>
    <row r="46" spans="1:13" ht="17.100000000000001" customHeight="1">
      <c r="A46" s="1" t="s">
        <v>46</v>
      </c>
      <c r="B46" s="2">
        <v>0.30499999999999999</v>
      </c>
      <c r="C46" s="2"/>
      <c r="K46" s="2"/>
      <c r="M46" s="2"/>
    </row>
    <row r="47" spans="1:13" ht="17.100000000000001" customHeight="1">
      <c r="A47" s="1" t="s">
        <v>47</v>
      </c>
      <c r="B47" s="2">
        <v>0.372</v>
      </c>
      <c r="C47" s="2"/>
      <c r="K47" s="2"/>
      <c r="M47" s="2"/>
    </row>
    <row r="48" spans="1:13" ht="17.100000000000001" customHeight="1">
      <c r="A48" s="1" t="s">
        <v>48</v>
      </c>
      <c r="B48" s="2">
        <v>0.38</v>
      </c>
      <c r="C48" s="2"/>
      <c r="K48" s="2"/>
      <c r="M48" s="2"/>
    </row>
    <row r="49" spans="1:13" ht="17.100000000000001" customHeight="1">
      <c r="A49" s="1" t="s">
        <v>49</v>
      </c>
      <c r="B49" s="2">
        <v>0.38100000000000001</v>
      </c>
      <c r="C49" s="2"/>
      <c r="K49" s="2"/>
      <c r="M49" s="2"/>
    </row>
    <row r="50" spans="1:13" ht="17.100000000000001" customHeight="1">
      <c r="A50" s="1" t="s">
        <v>50</v>
      </c>
      <c r="B50" s="2">
        <v>-0.30499999999999999</v>
      </c>
      <c r="C50" s="2"/>
      <c r="K50" s="2"/>
      <c r="M50" s="2"/>
    </row>
    <row r="51" spans="1:13" ht="17.100000000000001" customHeight="1">
      <c r="A51" s="1" t="s">
        <v>51</v>
      </c>
      <c r="B51" s="2">
        <v>-0.16900000000000001</v>
      </c>
      <c r="C51" s="2"/>
      <c r="K51" s="2"/>
      <c r="M51" s="2"/>
    </row>
    <row r="52" spans="1:13" ht="17.100000000000001" customHeight="1">
      <c r="A52" s="1" t="s">
        <v>52</v>
      </c>
      <c r="B52" s="2">
        <v>-0.14399999999999999</v>
      </c>
      <c r="C52" s="2"/>
      <c r="K52" s="2"/>
      <c r="M52" s="2"/>
    </row>
    <row r="53" spans="1:13" ht="17.100000000000001" customHeight="1">
      <c r="A53" s="1" t="s">
        <v>53</v>
      </c>
      <c r="B53" s="2">
        <v>-0.14199999999999999</v>
      </c>
      <c r="C53" s="2"/>
      <c r="K53" s="2"/>
      <c r="M53" s="2"/>
    </row>
    <row r="54" spans="1:13" ht="17.100000000000001" customHeight="1">
      <c r="A54" s="1" t="s">
        <v>54</v>
      </c>
      <c r="B54" s="2">
        <v>1.288</v>
      </c>
      <c r="C54" s="2"/>
      <c r="K54" s="2"/>
      <c r="M54" s="2"/>
    </row>
    <row r="55" spans="1:13" ht="17.100000000000001" customHeight="1">
      <c r="A55" s="1" t="s">
        <v>55</v>
      </c>
      <c r="B55" s="2">
        <v>1.5</v>
      </c>
      <c r="C55" s="2"/>
      <c r="K55" s="2"/>
      <c r="M55" s="2"/>
    </row>
    <row r="56" spans="1:13" ht="17.100000000000001" customHeight="1">
      <c r="A56" s="1" t="s">
        <v>56</v>
      </c>
      <c r="B56" s="2">
        <v>1.544</v>
      </c>
      <c r="C56" s="2"/>
      <c r="K56" s="2"/>
      <c r="M56" s="2"/>
    </row>
    <row r="57" spans="1:13" ht="17.100000000000001" customHeight="1">
      <c r="A57" s="1" t="s">
        <v>57</v>
      </c>
      <c r="B57" s="2">
        <v>1.5489999999999999</v>
      </c>
      <c r="C57" s="2"/>
      <c r="K57" s="2"/>
      <c r="M57" s="2"/>
    </row>
    <row r="58" spans="1:13" ht="17.100000000000001" customHeight="1">
      <c r="A58" s="1" t="s">
        <v>58</v>
      </c>
      <c r="B58" s="2">
        <v>0.55500000000000005</v>
      </c>
      <c r="C58" s="2"/>
      <c r="K58" s="2"/>
      <c r="M58" s="2"/>
    </row>
    <row r="59" spans="1:13" ht="17.100000000000001" customHeight="1">
      <c r="A59" s="1" t="s">
        <v>59</v>
      </c>
      <c r="B59" s="2">
        <v>0.89700000000000002</v>
      </c>
      <c r="C59" s="2"/>
      <c r="K59" s="2"/>
      <c r="M59" s="2"/>
    </row>
    <row r="60" spans="1:13" ht="17.100000000000001" customHeight="1">
      <c r="A60" s="1" t="s">
        <v>60</v>
      </c>
      <c r="B60" s="2">
        <v>0.98499999999999999</v>
      </c>
      <c r="C60" s="2"/>
      <c r="K60" s="2"/>
      <c r="M60" s="2"/>
    </row>
    <row r="61" spans="1:13" ht="17.100000000000001" customHeight="1">
      <c r="A61" s="1" t="s">
        <v>61</v>
      </c>
      <c r="B61" s="2">
        <v>1</v>
      </c>
      <c r="C61" s="2"/>
      <c r="K61" s="2"/>
      <c r="M61" s="2"/>
    </row>
    <row r="62" spans="1:13" ht="17.100000000000001" customHeight="1">
      <c r="A62" s="1" t="s">
        <v>62</v>
      </c>
      <c r="B62" s="2">
        <v>-0.54700000000000004</v>
      </c>
      <c r="C62" s="2"/>
      <c r="K62" s="2"/>
      <c r="M62" s="2"/>
    </row>
    <row r="63" spans="1:13" ht="17.100000000000001" customHeight="1">
      <c r="A63" s="1" t="s">
        <v>63</v>
      </c>
      <c r="B63" s="2">
        <v>-0.54700000000000004</v>
      </c>
      <c r="C63" s="2"/>
      <c r="K63" s="2"/>
      <c r="M63" s="2"/>
    </row>
    <row r="64" spans="1:13" ht="17.100000000000001" customHeight="1">
      <c r="A64" s="1" t="s">
        <v>64</v>
      </c>
      <c r="B64" s="2">
        <v>-0.54700000000000004</v>
      </c>
      <c r="C64" s="2"/>
      <c r="K64" s="2"/>
      <c r="M64" s="2"/>
    </row>
    <row r="65" spans="1:13" ht="17.100000000000001" customHeight="1">
      <c r="A65" s="1" t="s">
        <v>65</v>
      </c>
      <c r="B65" s="2">
        <v>-0.54700000000000004</v>
      </c>
      <c r="C65" s="2"/>
      <c r="K65" s="2"/>
      <c r="M65" s="2"/>
    </row>
    <row r="66" spans="1:13" ht="17.100000000000001" customHeight="1">
      <c r="A66" s="1" t="s">
        <v>66</v>
      </c>
      <c r="B66" s="2">
        <v>-1.25</v>
      </c>
      <c r="C66" s="2"/>
      <c r="K66" s="2"/>
      <c r="M66" s="2"/>
    </row>
    <row r="67" spans="1:13" ht="17.100000000000001" customHeight="1">
      <c r="A67" s="1" t="s">
        <v>67</v>
      </c>
      <c r="B67" s="2">
        <v>-1.2470000000000001</v>
      </c>
      <c r="C67" s="2"/>
      <c r="K67" s="2"/>
      <c r="M67" s="2"/>
    </row>
    <row r="68" spans="1:13" ht="17.100000000000001" customHeight="1">
      <c r="A68" s="1" t="s">
        <v>68</v>
      </c>
      <c r="B68" s="2">
        <v>-1.246</v>
      </c>
      <c r="C68" s="2"/>
      <c r="K68" s="2"/>
      <c r="M68" s="2"/>
    </row>
    <row r="69" spans="1:13" ht="17.100000000000001" customHeight="1">
      <c r="A69" s="1" t="s">
        <v>69</v>
      </c>
      <c r="B69" s="2">
        <v>-1.246</v>
      </c>
      <c r="C69" s="2"/>
      <c r="K69" s="2"/>
      <c r="M69" s="2"/>
    </row>
    <row r="70" spans="1:13" ht="17.100000000000001" customHeight="1">
      <c r="A70" s="1" t="s">
        <v>70</v>
      </c>
      <c r="B70" s="2">
        <v>0.372</v>
      </c>
      <c r="C70" s="2"/>
      <c r="K70" s="2"/>
      <c r="M70" s="2"/>
    </row>
    <row r="71" spans="1:13" ht="17.100000000000001" customHeight="1">
      <c r="A71" s="1" t="s">
        <v>71</v>
      </c>
      <c r="B71" s="2">
        <v>0.38</v>
      </c>
      <c r="C71" s="2"/>
      <c r="K71" s="2"/>
      <c r="M71" s="2"/>
    </row>
    <row r="72" spans="1:13" ht="17.100000000000001" customHeight="1">
      <c r="A72" s="1" t="s">
        <v>72</v>
      </c>
      <c r="B72" s="2">
        <v>0.38100000000000001</v>
      </c>
      <c r="C72" s="2"/>
      <c r="K72" s="2"/>
      <c r="M72" s="2"/>
    </row>
    <row r="73" spans="1:13" ht="17.100000000000001" customHeight="1">
      <c r="A73" s="1" t="s">
        <v>73</v>
      </c>
      <c r="B73" s="2">
        <v>0.38100000000000001</v>
      </c>
      <c r="C73" s="2"/>
      <c r="K73" s="2"/>
      <c r="M73" s="2"/>
    </row>
    <row r="74" spans="1:13" ht="17.100000000000001" customHeight="1">
      <c r="A74" s="1" t="s">
        <v>74</v>
      </c>
      <c r="B74" s="2">
        <v>-0.16900000000000001</v>
      </c>
      <c r="C74" s="2"/>
      <c r="K74" s="2"/>
      <c r="M74" s="2"/>
    </row>
    <row r="75" spans="1:13" ht="17.100000000000001" customHeight="1">
      <c r="A75" s="1" t="s">
        <v>75</v>
      </c>
      <c r="B75" s="2">
        <v>-0.14399999999999999</v>
      </c>
      <c r="C75" s="2"/>
      <c r="K75" s="2"/>
      <c r="M75" s="2"/>
    </row>
    <row r="76" spans="1:13" ht="17.100000000000001" customHeight="1">
      <c r="A76" s="1" t="s">
        <v>76</v>
      </c>
      <c r="B76" s="2">
        <v>-0.14199999999999999</v>
      </c>
      <c r="C76" s="2"/>
      <c r="K76" s="2"/>
      <c r="M76" s="2"/>
    </row>
    <row r="77" spans="1:13" ht="17.100000000000001" customHeight="1">
      <c r="A77" s="1" t="s">
        <v>77</v>
      </c>
      <c r="B77" s="2">
        <v>-0.14199999999999999</v>
      </c>
      <c r="C77" s="2"/>
      <c r="K77" s="2"/>
      <c r="M77" s="2"/>
    </row>
    <row r="78" spans="1:13" ht="17.100000000000001" customHeight="1">
      <c r="A78" s="1" t="s">
        <v>78</v>
      </c>
      <c r="B78" s="2">
        <v>2.1999999999999999E-2</v>
      </c>
      <c r="C78" s="2"/>
      <c r="K78" s="2"/>
      <c r="M78" s="2"/>
    </row>
    <row r="79" spans="1:13" ht="17.100000000000001" customHeight="1">
      <c r="A79" s="1" t="s">
        <v>79</v>
      </c>
      <c r="B79" s="2">
        <v>3.9E-2</v>
      </c>
      <c r="C79" s="2"/>
      <c r="K79" s="2"/>
      <c r="M79" s="2"/>
    </row>
    <row r="80" spans="1:13" ht="17.100000000000001" customHeight="1">
      <c r="A80" s="1" t="s">
        <v>80</v>
      </c>
      <c r="B80" s="2">
        <v>0.04</v>
      </c>
      <c r="C80" s="2"/>
      <c r="K80" s="2"/>
      <c r="M80" s="2"/>
    </row>
    <row r="81" spans="1:13" ht="17.100000000000001" customHeight="1">
      <c r="A81" s="1" t="s">
        <v>81</v>
      </c>
      <c r="B81" s="2">
        <v>0.04</v>
      </c>
      <c r="C81" s="2"/>
      <c r="K81" s="2"/>
      <c r="M81" s="2"/>
    </row>
    <row r="82" spans="1:13" ht="17.100000000000001" customHeight="1">
      <c r="A82" s="1" t="s">
        <v>82</v>
      </c>
      <c r="B82" s="2">
        <v>-0.5</v>
      </c>
      <c r="C82" s="2"/>
      <c r="K82" s="2"/>
      <c r="M82" s="2"/>
    </row>
    <row r="83" spans="1:13" ht="17.100000000000001" customHeight="1">
      <c r="A83" s="1" t="s">
        <v>83</v>
      </c>
      <c r="B83" s="2">
        <v>-0.45800000000000002</v>
      </c>
      <c r="C83" s="2"/>
      <c r="K83" s="2"/>
      <c r="M83" s="2"/>
    </row>
    <row r="84" spans="1:13" ht="17.100000000000001" customHeight="1">
      <c r="A84" s="1" t="s">
        <v>84</v>
      </c>
      <c r="B84" s="2">
        <v>-0.45300000000000001</v>
      </c>
      <c r="C84" s="2"/>
      <c r="K84" s="2"/>
      <c r="M84" s="2"/>
    </row>
    <row r="85" spans="1:13" ht="17.100000000000001" customHeight="1">
      <c r="A85" s="1" t="s">
        <v>85</v>
      </c>
      <c r="B85" s="2">
        <v>-0.45300000000000001</v>
      </c>
      <c r="C85" s="2"/>
      <c r="K85" s="2"/>
      <c r="M85" s="2"/>
    </row>
    <row r="86" spans="1:13" ht="17.100000000000001" customHeight="1">
      <c r="A86" s="1" t="s">
        <v>86</v>
      </c>
      <c r="B86" s="2">
        <v>1.169</v>
      </c>
      <c r="C86" s="2"/>
      <c r="K86" s="2"/>
      <c r="M86" s="2"/>
    </row>
    <row r="87" spans="1:13" ht="17.100000000000001" customHeight="1">
      <c r="A87" s="1" t="s">
        <v>87</v>
      </c>
      <c r="B87" s="2">
        <v>1.2370000000000001</v>
      </c>
      <c r="C87" s="2"/>
      <c r="K87" s="2"/>
      <c r="M87" s="2"/>
    </row>
    <row r="88" spans="1:13" ht="17.100000000000001" customHeight="1">
      <c r="A88" s="1" t="s">
        <v>88</v>
      </c>
      <c r="B88" s="2">
        <v>1.2470000000000001</v>
      </c>
      <c r="C88" s="2"/>
      <c r="K88" s="2"/>
      <c r="M88" s="2"/>
    </row>
    <row r="89" spans="1:13" ht="17.100000000000001" customHeight="1">
      <c r="A89" s="1" t="s">
        <v>89</v>
      </c>
      <c r="B89" s="2">
        <v>1.248</v>
      </c>
      <c r="C89" s="2"/>
      <c r="K89" s="2"/>
      <c r="M89" s="2"/>
    </row>
    <row r="90" spans="1:13" ht="17.100000000000001" customHeight="1">
      <c r="A90" s="1" t="s">
        <v>90</v>
      </c>
      <c r="B90" s="2">
        <v>0.61099999999999999</v>
      </c>
      <c r="C90" s="2"/>
      <c r="K90" s="2"/>
      <c r="M90" s="2"/>
    </row>
    <row r="91" spans="1:13" ht="17.100000000000001" customHeight="1">
      <c r="A91" s="1" t="s">
        <v>91</v>
      </c>
      <c r="B91" s="2">
        <v>0.73199999999999998</v>
      </c>
      <c r="C91" s="2"/>
      <c r="K91" s="2"/>
      <c r="M91" s="2"/>
    </row>
    <row r="92" spans="1:13" ht="17.100000000000001" customHeight="1">
      <c r="A92" s="1" t="s">
        <v>92</v>
      </c>
      <c r="B92" s="2">
        <v>0.75600000000000001</v>
      </c>
      <c r="C92" s="2"/>
      <c r="K92" s="2"/>
      <c r="M92" s="2"/>
    </row>
    <row r="93" spans="1:13" ht="17.100000000000001" customHeight="1">
      <c r="A93" s="1" t="s">
        <v>93</v>
      </c>
      <c r="B93" s="2">
        <v>0.75800000000000001</v>
      </c>
      <c r="C93" s="2"/>
      <c r="K93" s="2"/>
      <c r="M93" s="2"/>
    </row>
    <row r="94" spans="1:13" ht="17.100000000000001" customHeight="1">
      <c r="A94" s="1" t="s">
        <v>94</v>
      </c>
      <c r="B94" s="2">
        <v>-0.29599999999999999</v>
      </c>
      <c r="C94" s="2"/>
      <c r="K94" s="2"/>
      <c r="M94" s="2"/>
    </row>
    <row r="95" spans="1:13" ht="17.100000000000001" customHeight="1">
      <c r="A95" s="1" t="s">
        <v>95</v>
      </c>
      <c r="B95" s="2">
        <v>-0.26600000000000001</v>
      </c>
      <c r="C95" s="2"/>
      <c r="K95" s="2"/>
      <c r="M95" s="2"/>
    </row>
    <row r="96" spans="1:13" ht="17.100000000000001" customHeight="1">
      <c r="A96" s="1" t="s">
        <v>96</v>
      </c>
      <c r="B96" s="2">
        <v>-0.26300000000000001</v>
      </c>
      <c r="C96" s="2"/>
      <c r="K96" s="2"/>
      <c r="M96" s="2"/>
    </row>
    <row r="97" spans="1:13" ht="17.100000000000001" customHeight="1">
      <c r="A97" s="1" t="s">
        <v>97</v>
      </c>
      <c r="B97" s="2">
        <v>-0.26300000000000001</v>
      </c>
      <c r="C97" s="2"/>
      <c r="K97" s="2"/>
      <c r="M97" s="2"/>
    </row>
    <row r="98" spans="1:13" ht="17.100000000000001" customHeight="1">
      <c r="A98" s="1" t="s">
        <v>98</v>
      </c>
      <c r="B98" s="2">
        <v>-0.83099999999999996</v>
      </c>
      <c r="C98" s="2"/>
      <c r="K98" s="2"/>
      <c r="M98" s="2"/>
    </row>
    <row r="99" spans="1:13" ht="17.100000000000001" customHeight="1">
      <c r="A99" s="1" t="s">
        <v>99</v>
      </c>
      <c r="B99" s="2">
        <v>-0.76300000000000001</v>
      </c>
      <c r="C99" s="2"/>
      <c r="K99" s="2"/>
      <c r="M99" s="2"/>
    </row>
    <row r="100" spans="1:13" ht="17.100000000000001" customHeight="1">
      <c r="A100" s="1" t="s">
        <v>100</v>
      </c>
      <c r="B100" s="2">
        <v>-0.753</v>
      </c>
      <c r="C100" s="2"/>
      <c r="K100" s="2"/>
      <c r="M100" s="2"/>
    </row>
    <row r="101" spans="1:13" ht="17.100000000000001" customHeight="1">
      <c r="A101" s="1" t="s">
        <v>101</v>
      </c>
      <c r="B101" s="2">
        <v>-0.752</v>
      </c>
      <c r="C101" s="2"/>
      <c r="K101" s="2"/>
      <c r="M101" s="2"/>
    </row>
    <row r="102" spans="1:13" ht="17.100000000000001" customHeight="1">
      <c r="A102" s="1" t="s">
        <v>102</v>
      </c>
      <c r="B102" s="2">
        <v>0.83099999999999996</v>
      </c>
      <c r="C102" s="2"/>
      <c r="K102" s="2"/>
      <c r="M102" s="2"/>
    </row>
    <row r="103" spans="1:13" ht="17.100000000000001" customHeight="1">
      <c r="A103" s="1" t="s">
        <v>103</v>
      </c>
      <c r="B103" s="2">
        <v>0.93500000000000005</v>
      </c>
      <c r="C103" s="2"/>
      <c r="K103" s="2"/>
      <c r="M103" s="2"/>
    </row>
    <row r="104" spans="1:13" ht="17.100000000000001" customHeight="1">
      <c r="A104" s="1" t="s">
        <v>104</v>
      </c>
      <c r="B104" s="2">
        <v>0.95199999999999996</v>
      </c>
      <c r="C104" s="2"/>
      <c r="K104" s="2"/>
      <c r="M104" s="2"/>
    </row>
    <row r="105" spans="1:13" ht="17.100000000000001" customHeight="1">
      <c r="A105" s="1" t="s">
        <v>105</v>
      </c>
      <c r="B105" s="2">
        <v>0.95399999999999996</v>
      </c>
      <c r="C105" s="2"/>
      <c r="K105" s="2"/>
      <c r="M105" s="2"/>
    </row>
    <row r="106" spans="1:13" ht="17.100000000000001" customHeight="1">
      <c r="A106" s="1" t="s">
        <v>106</v>
      </c>
      <c r="B106" s="2">
        <v>0.29599999999999999</v>
      </c>
      <c r="C106" s="2"/>
      <c r="K106" s="2"/>
      <c r="M106" s="2"/>
    </row>
    <row r="107" spans="1:13" ht="17.100000000000001" customHeight="1">
      <c r="A107" s="1" t="s">
        <v>107</v>
      </c>
      <c r="B107" s="2">
        <v>0.46300000000000002</v>
      </c>
      <c r="C107" s="2"/>
      <c r="K107" s="2"/>
      <c r="M107" s="2"/>
    </row>
    <row r="108" spans="1:13" ht="17.100000000000001" customHeight="1">
      <c r="A108" s="1" t="s">
        <v>108</v>
      </c>
      <c r="B108" s="2">
        <v>0.5</v>
      </c>
      <c r="C108" s="2"/>
      <c r="K108" s="2"/>
      <c r="M108" s="2"/>
    </row>
    <row r="109" spans="1:13" ht="17.100000000000001" customHeight="1">
      <c r="A109" s="1" t="s">
        <v>109</v>
      </c>
      <c r="B109" s="2">
        <v>0.504</v>
      </c>
      <c r="C109" s="2"/>
      <c r="K109" s="2"/>
      <c r="M109" s="2"/>
    </row>
    <row r="110" spans="1:13" ht="17.100000000000001" customHeight="1">
      <c r="A110" s="1" t="s">
        <v>110</v>
      </c>
      <c r="B110" s="2">
        <v>0.5</v>
      </c>
      <c r="C110" s="2"/>
      <c r="K110" s="2"/>
      <c r="M110" s="2"/>
    </row>
    <row r="111" spans="1:13" ht="17.100000000000001" customHeight="1">
      <c r="A111" s="1" t="s">
        <v>111</v>
      </c>
      <c r="B111" s="2">
        <v>0.64800000000000002</v>
      </c>
      <c r="C111" s="2"/>
      <c r="K111" s="2"/>
      <c r="M111" s="2"/>
    </row>
    <row r="112" spans="1:13" ht="17.100000000000001" customHeight="1">
      <c r="A112" s="1" t="s">
        <v>112</v>
      </c>
      <c r="B112" s="2">
        <v>0.67800000000000005</v>
      </c>
      <c r="C112" s="2"/>
      <c r="K112" s="2"/>
      <c r="M112" s="2"/>
    </row>
    <row r="113" spans="1:13" ht="17.100000000000001" customHeight="1">
      <c r="A113" s="1" t="s">
        <v>113</v>
      </c>
      <c r="B113" s="2">
        <v>0.68100000000000005</v>
      </c>
      <c r="C113" s="2"/>
      <c r="K113" s="2"/>
      <c r="M113" s="2"/>
    </row>
    <row r="114" spans="1:13" ht="17.100000000000001" customHeight="1">
      <c r="A114" s="1" t="s">
        <v>114</v>
      </c>
      <c r="B114" s="2">
        <v>-4.2999999999999997E-2</v>
      </c>
      <c r="C114" s="2"/>
      <c r="K114" s="2"/>
      <c r="M114" s="2"/>
    </row>
    <row r="115" spans="1:13" ht="17.100000000000001" customHeight="1">
      <c r="A115" s="1" t="s">
        <v>115</v>
      </c>
      <c r="B115" s="2">
        <v>0.187</v>
      </c>
      <c r="C115" s="2"/>
      <c r="K115" s="2"/>
      <c r="M115" s="2"/>
    </row>
    <row r="116" spans="1:13" ht="17.100000000000001" customHeight="1">
      <c r="A116" s="1" t="s">
        <v>116</v>
      </c>
      <c r="B116" s="2">
        <v>0.24399999999999999</v>
      </c>
      <c r="C116" s="2"/>
      <c r="K116" s="2"/>
      <c r="M116" s="2"/>
    </row>
    <row r="117" spans="1:13" ht="17.100000000000001" customHeight="1">
      <c r="A117" s="1" t="s">
        <v>117</v>
      </c>
      <c r="B117" s="2">
        <v>0.252</v>
      </c>
      <c r="C117" s="2"/>
      <c r="K117" s="2"/>
      <c r="M117" s="2"/>
    </row>
    <row r="118" spans="1:13" ht="17.100000000000001" customHeight="1">
      <c r="A118" s="1" t="s">
        <v>118</v>
      </c>
      <c r="B118" s="2">
        <v>1.603</v>
      </c>
      <c r="C118" s="2"/>
      <c r="K118" s="2"/>
      <c r="M118" s="2"/>
    </row>
    <row r="119" spans="1:13" ht="17.100000000000001" customHeight="1">
      <c r="A119" s="1" t="s">
        <v>119</v>
      </c>
      <c r="B119" s="2">
        <v>1.917</v>
      </c>
      <c r="C119" s="2"/>
      <c r="K119" s="2"/>
      <c r="M119" s="2"/>
    </row>
    <row r="120" spans="1:13" ht="17.100000000000001" customHeight="1">
      <c r="A120" s="1" t="s">
        <v>120</v>
      </c>
      <c r="B120" s="2">
        <v>2</v>
      </c>
      <c r="C120" s="2"/>
      <c r="K120" s="2"/>
      <c r="M120" s="2"/>
    </row>
    <row r="121" spans="1:13" ht="17.100000000000001" customHeight="1">
      <c r="A121" s="1" t="s">
        <v>121</v>
      </c>
      <c r="B121" s="2">
        <v>2.0139999999999998</v>
      </c>
      <c r="C121" s="2"/>
      <c r="K121" s="2"/>
      <c r="M121" s="2"/>
    </row>
    <row r="122" spans="1:13" ht="17.100000000000001" customHeight="1">
      <c r="A122" s="1" t="s">
        <v>122</v>
      </c>
      <c r="B122" s="2">
        <v>0.89300000000000002</v>
      </c>
      <c r="C122" s="2"/>
      <c r="K122" s="2"/>
      <c r="M122" s="2"/>
    </row>
    <row r="123" spans="1:13" ht="17.100000000000001" customHeight="1">
      <c r="A123" s="1" t="s">
        <v>123</v>
      </c>
      <c r="B123" s="2">
        <v>1.329</v>
      </c>
      <c r="C123" s="2"/>
      <c r="K123" s="2"/>
      <c r="M123" s="2"/>
    </row>
    <row r="124" spans="1:13" ht="17.100000000000001" customHeight="1">
      <c r="A124" s="1" t="s">
        <v>124</v>
      </c>
      <c r="B124" s="2">
        <v>1.4650000000000001</v>
      </c>
      <c r="C124" s="2"/>
      <c r="K124" s="2"/>
      <c r="M124" s="2"/>
    </row>
    <row r="125" spans="1:13" ht="17.100000000000001" customHeight="1">
      <c r="A125" s="1" t="s">
        <v>125</v>
      </c>
      <c r="B125" s="2">
        <v>1.496</v>
      </c>
      <c r="C125" s="2"/>
      <c r="K125" s="2"/>
      <c r="M125" s="2"/>
    </row>
    <row r="126" spans="1:13" ht="17.100000000000001" customHeight="1">
      <c r="A126" s="1" t="s">
        <v>126</v>
      </c>
      <c r="B126" s="1">
        <v>0.5</v>
      </c>
      <c r="K126" s="2"/>
    </row>
    <row r="127" spans="1:13" ht="17.100000000000001" customHeight="1">
      <c r="A127" s="1" t="s">
        <v>127</v>
      </c>
      <c r="B127" s="1">
        <v>0.38800000000000001</v>
      </c>
      <c r="K127" s="2"/>
    </row>
    <row r="128" spans="1:13" ht="17.100000000000001" customHeight="1">
      <c r="A128" s="1" t="s">
        <v>128</v>
      </c>
      <c r="B128" s="1">
        <v>0.378</v>
      </c>
      <c r="K128" s="2"/>
    </row>
    <row r="129" spans="1:11" ht="17.100000000000001" customHeight="1">
      <c r="A129" s="1" t="s">
        <v>129</v>
      </c>
      <c r="B129" s="1">
        <v>0.377</v>
      </c>
      <c r="K129" s="2"/>
    </row>
    <row r="130" spans="1:11" ht="17.100000000000001" customHeight="1">
      <c r="A130" s="1" t="s">
        <v>130</v>
      </c>
      <c r="B130" s="1">
        <v>-0.84199999999999997</v>
      </c>
      <c r="K130" s="2"/>
    </row>
    <row r="131" spans="1:11" ht="17.100000000000001" customHeight="1">
      <c r="A131" s="1" t="s">
        <v>131</v>
      </c>
      <c r="B131" s="1">
        <v>-0.89</v>
      </c>
      <c r="K131" s="2"/>
    </row>
    <row r="132" spans="1:11" ht="17.100000000000001" customHeight="1">
      <c r="A132" s="1" t="s">
        <v>132</v>
      </c>
      <c r="B132" s="1">
        <v>-0.89400000000000002</v>
      </c>
      <c r="K132" s="2"/>
    </row>
    <row r="133" spans="1:11" ht="17.100000000000001" customHeight="1">
      <c r="A133" s="1" t="s">
        <v>133</v>
      </c>
      <c r="B133" s="1">
        <v>-0.89400000000000002</v>
      </c>
      <c r="K133" s="2"/>
    </row>
    <row r="134" spans="1:11" ht="17.100000000000001" customHeight="1">
      <c r="A134" s="1" t="s">
        <v>134</v>
      </c>
      <c r="B134" s="1">
        <v>0.17799999999999999</v>
      </c>
      <c r="K134" s="2"/>
    </row>
    <row r="135" spans="1:11" ht="17.100000000000001" customHeight="1">
      <c r="A135" s="1" t="s">
        <v>135</v>
      </c>
      <c r="B135" s="1">
        <v>0</v>
      </c>
      <c r="K135" s="2"/>
    </row>
    <row r="136" spans="1:11" ht="17.100000000000001" customHeight="1">
      <c r="A136" s="1" t="s">
        <v>136</v>
      </c>
      <c r="B136" s="1">
        <v>-2.5999999999999999E-2</v>
      </c>
      <c r="K136" s="2"/>
    </row>
    <row r="137" spans="1:11" ht="17.100000000000001" customHeight="1">
      <c r="A137" s="1" t="s">
        <v>137</v>
      </c>
      <c r="B137" s="1">
        <v>-2.8000000000000001E-2</v>
      </c>
      <c r="K137" s="2"/>
    </row>
    <row r="138" spans="1:11" ht="17.100000000000001" customHeight="1">
      <c r="A138" s="1" t="s">
        <v>138</v>
      </c>
      <c r="B138" s="1">
        <v>-0.29899999999999999</v>
      </c>
      <c r="K138" s="2"/>
    </row>
    <row r="139" spans="1:11" ht="17.100000000000001" customHeight="1">
      <c r="A139" s="1" t="s">
        <v>139</v>
      </c>
      <c r="B139" s="1">
        <v>-0.314</v>
      </c>
      <c r="K139" s="2"/>
    </row>
    <row r="140" spans="1:11" ht="17.100000000000001" customHeight="1">
      <c r="A140" s="1" t="s">
        <v>140</v>
      </c>
      <c r="B140" s="1">
        <v>-0.315</v>
      </c>
      <c r="K140" s="2"/>
    </row>
    <row r="141" spans="1:11" ht="17.100000000000001" customHeight="1">
      <c r="A141" s="1" t="s">
        <v>141</v>
      </c>
      <c r="B141" s="1">
        <v>-0.315</v>
      </c>
      <c r="K141" s="2"/>
    </row>
    <row r="142" spans="1:11" ht="17.100000000000001" customHeight="1">
      <c r="A142" s="1" t="s">
        <v>142</v>
      </c>
      <c r="B142" s="1">
        <v>0.5</v>
      </c>
      <c r="K142" s="2"/>
    </row>
    <row r="143" spans="1:11" ht="17.100000000000001" customHeight="1">
      <c r="A143" s="1" t="s">
        <v>143</v>
      </c>
      <c r="B143" s="1">
        <v>0.439</v>
      </c>
      <c r="K143" s="2"/>
    </row>
    <row r="144" spans="1:11" ht="17.100000000000001" customHeight="1">
      <c r="A144" s="1" t="s">
        <v>144</v>
      </c>
      <c r="B144" s="1">
        <v>0.432</v>
      </c>
      <c r="K144" s="2"/>
    </row>
    <row r="145" spans="1:11" ht="17.100000000000001" customHeight="1">
      <c r="A145" s="1" t="s">
        <v>145</v>
      </c>
      <c r="B145" s="1">
        <v>0.432</v>
      </c>
      <c r="K145" s="2"/>
    </row>
    <row r="146" spans="1:11" ht="17.100000000000001" customHeight="1">
      <c r="A146" s="1" t="s">
        <v>146</v>
      </c>
      <c r="B146" s="1">
        <v>-1</v>
      </c>
      <c r="K146" s="2"/>
    </row>
    <row r="147" spans="1:11" ht="17.100000000000001" customHeight="1">
      <c r="A147" s="1" t="s">
        <v>147</v>
      </c>
      <c r="B147" s="1">
        <v>-1.1220000000000001</v>
      </c>
      <c r="K147" s="2"/>
    </row>
    <row r="148" spans="1:11" ht="17.100000000000001" customHeight="1">
      <c r="A148" s="1" t="s">
        <v>148</v>
      </c>
      <c r="B148" s="1">
        <v>-1.139</v>
      </c>
      <c r="K148" s="2"/>
    </row>
    <row r="149" spans="1:11" ht="17.100000000000001" customHeight="1">
      <c r="A149" s="1" t="s">
        <v>149</v>
      </c>
      <c r="B149" s="1">
        <v>-1.1399999999999999</v>
      </c>
      <c r="K149" s="2"/>
    </row>
    <row r="150" spans="1:11" ht="17.100000000000001" customHeight="1">
      <c r="A150" s="1" t="s">
        <v>150</v>
      </c>
      <c r="B150" s="1">
        <v>-0.19400000000000001</v>
      </c>
      <c r="K150" s="2"/>
    </row>
    <row r="151" spans="1:11" ht="17.100000000000001" customHeight="1">
      <c r="A151" s="1" t="s">
        <v>151</v>
      </c>
      <c r="B151" s="1">
        <v>-0.44900000000000001</v>
      </c>
      <c r="K151" s="2"/>
    </row>
    <row r="152" spans="1:11" ht="17.100000000000001" customHeight="1">
      <c r="A152" s="1" t="s">
        <v>152</v>
      </c>
      <c r="B152" s="1">
        <v>-0.5</v>
      </c>
      <c r="K152" s="2"/>
    </row>
    <row r="153" spans="1:11" ht="17.100000000000001" customHeight="1">
      <c r="A153" s="1" t="s">
        <v>153</v>
      </c>
      <c r="B153" s="1">
        <v>-0.50600000000000001</v>
      </c>
      <c r="K153" s="2"/>
    </row>
    <row r="154" spans="1:11" ht="17.100000000000001" customHeight="1">
      <c r="A154" s="1" t="s">
        <v>154</v>
      </c>
      <c r="B154" s="1">
        <v>0.157</v>
      </c>
      <c r="K154" s="2"/>
    </row>
    <row r="155" spans="1:11" ht="17.100000000000001" customHeight="1">
      <c r="A155" s="1" t="s">
        <v>155</v>
      </c>
      <c r="B155" s="1">
        <v>0.154</v>
      </c>
      <c r="K155" s="2"/>
    </row>
    <row r="156" spans="1:11" ht="17.100000000000001" customHeight="1">
      <c r="A156" s="1" t="s">
        <v>156</v>
      </c>
      <c r="B156" s="1">
        <v>0.154</v>
      </c>
      <c r="K156" s="2"/>
    </row>
    <row r="157" spans="1:11" ht="17.100000000000001" customHeight="1">
      <c r="A157" s="1" t="s">
        <v>157</v>
      </c>
      <c r="B157" s="1">
        <v>0.154</v>
      </c>
      <c r="K157" s="2"/>
    </row>
    <row r="158" spans="1:11" ht="17.100000000000001" customHeight="1">
      <c r="A158" s="1" t="s">
        <v>158</v>
      </c>
      <c r="B158" s="1">
        <v>0.878</v>
      </c>
      <c r="K158" s="2"/>
    </row>
    <row r="159" spans="1:11" ht="17.100000000000001" customHeight="1">
      <c r="A159" s="1" t="s">
        <v>159</v>
      </c>
      <c r="B159" s="1">
        <v>0.86099999999999999</v>
      </c>
      <c r="K159" s="2"/>
    </row>
    <row r="160" spans="1:11" ht="17.100000000000001" customHeight="1">
      <c r="A160" s="1" t="s">
        <v>160</v>
      </c>
      <c r="B160" s="1">
        <v>0.86</v>
      </c>
      <c r="K160" s="2"/>
    </row>
    <row r="161" spans="1:11" ht="17.100000000000001" customHeight="1">
      <c r="A161" s="1" t="s">
        <v>161</v>
      </c>
      <c r="B161" s="1">
        <v>0.86</v>
      </c>
      <c r="K161" s="2"/>
    </row>
    <row r="162" spans="1:11" ht="17.100000000000001" customHeight="1">
      <c r="A162" s="1" t="s">
        <v>162</v>
      </c>
      <c r="B162" s="1">
        <v>-0.70099999999999996</v>
      </c>
      <c r="K162" s="2"/>
    </row>
    <row r="163" spans="1:11" ht="17.100000000000001" customHeight="1">
      <c r="A163" s="1" t="s">
        <v>163</v>
      </c>
      <c r="B163" s="1">
        <v>-0.73699999999999999</v>
      </c>
      <c r="K163" s="2"/>
    </row>
    <row r="164" spans="1:11" ht="17.100000000000001" customHeight="1">
      <c r="A164" s="1" t="s">
        <v>164</v>
      </c>
      <c r="B164" s="1">
        <v>-0.74099999999999999</v>
      </c>
      <c r="K164" s="2"/>
    </row>
    <row r="165" spans="1:11" ht="17.100000000000001" customHeight="1">
      <c r="A165" s="1" t="s">
        <v>165</v>
      </c>
      <c r="B165" s="1">
        <v>-0.74099999999999999</v>
      </c>
      <c r="K165" s="2"/>
    </row>
    <row r="166" spans="1:11" ht="17.100000000000001" customHeight="1">
      <c r="A166" s="1" t="s">
        <v>166</v>
      </c>
      <c r="B166" s="1">
        <v>-8.4000000000000005E-2</v>
      </c>
      <c r="K166" s="2"/>
    </row>
    <row r="167" spans="1:11" ht="17.100000000000001" customHeight="1">
      <c r="A167" s="1" t="s">
        <v>167</v>
      </c>
      <c r="B167" s="1">
        <v>-0.16900000000000001</v>
      </c>
      <c r="K167" s="2"/>
    </row>
    <row r="168" spans="1:11" ht="17.100000000000001" customHeight="1">
      <c r="A168" s="1" t="s">
        <v>168</v>
      </c>
      <c r="B168" s="1">
        <v>-0.18099999999999999</v>
      </c>
      <c r="K168" s="2"/>
    </row>
    <row r="169" spans="1:11" ht="17.100000000000001" customHeight="1">
      <c r="A169" s="1" t="s">
        <v>169</v>
      </c>
      <c r="B169" s="1">
        <v>-0.182</v>
      </c>
      <c r="K169" s="2"/>
    </row>
    <row r="170" spans="1:11" ht="17.100000000000001" customHeight="1">
      <c r="A170" s="1" t="s">
        <v>170</v>
      </c>
      <c r="B170" s="1">
        <v>-0.30499999999999999</v>
      </c>
      <c r="K170" s="2"/>
    </row>
    <row r="171" spans="1:11" ht="17.100000000000001" customHeight="1">
      <c r="A171" s="1" t="s">
        <v>171</v>
      </c>
      <c r="B171" s="1">
        <v>-0.372</v>
      </c>
      <c r="K171" s="2"/>
    </row>
    <row r="172" spans="1:11" ht="17.100000000000001" customHeight="1">
      <c r="A172" s="1" t="s">
        <v>172</v>
      </c>
      <c r="B172" s="1">
        <v>-0.38</v>
      </c>
      <c r="K172" s="2"/>
    </row>
    <row r="173" spans="1:11" ht="17.100000000000001" customHeight="1">
      <c r="A173" s="1" t="s">
        <v>173</v>
      </c>
      <c r="B173" s="1">
        <v>-0.38100000000000001</v>
      </c>
      <c r="K173" s="2"/>
    </row>
    <row r="174" spans="1:11" ht="17.100000000000001" customHeight="1">
      <c r="A174" s="1" t="s">
        <v>174</v>
      </c>
      <c r="B174" s="1">
        <v>0.30499999999999999</v>
      </c>
      <c r="K174" s="2"/>
    </row>
    <row r="175" spans="1:11" ht="17.100000000000001" customHeight="1">
      <c r="A175" s="1" t="s">
        <v>175</v>
      </c>
      <c r="B175" s="1">
        <v>0.16900000000000001</v>
      </c>
      <c r="K175" s="2"/>
    </row>
    <row r="176" spans="1:11" ht="17.100000000000001" customHeight="1">
      <c r="A176" s="1" t="s">
        <v>176</v>
      </c>
      <c r="B176" s="1">
        <v>0.14399999999999999</v>
      </c>
      <c r="K176" s="2"/>
    </row>
    <row r="177" spans="1:11" ht="17.100000000000001" customHeight="1">
      <c r="A177" s="1" t="s">
        <v>177</v>
      </c>
      <c r="B177" s="1">
        <v>0.14199999999999999</v>
      </c>
      <c r="K177" s="2"/>
    </row>
    <row r="178" spans="1:11" ht="17.100000000000001" customHeight="1">
      <c r="A178" s="1" t="s">
        <v>178</v>
      </c>
      <c r="B178" s="1">
        <v>-1.288</v>
      </c>
      <c r="K178" s="2"/>
    </row>
    <row r="179" spans="1:11" ht="17.100000000000001" customHeight="1">
      <c r="A179" s="1" t="s">
        <v>179</v>
      </c>
      <c r="B179" s="1">
        <v>-1.5</v>
      </c>
      <c r="K179" s="2"/>
    </row>
    <row r="180" spans="1:11" ht="17.100000000000001" customHeight="1">
      <c r="A180" s="1" t="s">
        <v>180</v>
      </c>
      <c r="B180" s="1">
        <v>-1.544</v>
      </c>
      <c r="K180" s="2"/>
    </row>
    <row r="181" spans="1:11" ht="17.100000000000001" customHeight="1">
      <c r="A181" s="1" t="s">
        <v>181</v>
      </c>
      <c r="B181" s="1">
        <v>-1.5489999999999999</v>
      </c>
      <c r="K181" s="2"/>
    </row>
    <row r="182" spans="1:11" ht="17.100000000000001" customHeight="1">
      <c r="A182" s="1" t="s">
        <v>182</v>
      </c>
      <c r="B182" s="1">
        <v>-0.55500000000000005</v>
      </c>
      <c r="K182" s="2"/>
    </row>
    <row r="183" spans="1:11" ht="17.100000000000001" customHeight="1">
      <c r="A183" s="1" t="s">
        <v>183</v>
      </c>
      <c r="B183" s="1">
        <v>-0.89700000000000002</v>
      </c>
      <c r="K183" s="2"/>
    </row>
    <row r="184" spans="1:11" ht="17.100000000000001" customHeight="1">
      <c r="A184" s="1" t="s">
        <v>184</v>
      </c>
      <c r="B184" s="1">
        <v>-0.98499999999999999</v>
      </c>
      <c r="K184" s="2"/>
    </row>
    <row r="185" spans="1:11" ht="17.100000000000001" customHeight="1">
      <c r="A185" s="1" t="s">
        <v>185</v>
      </c>
      <c r="B185" s="1">
        <v>-1</v>
      </c>
      <c r="K185" s="2"/>
    </row>
    <row r="186" spans="1:11" ht="17.100000000000001" customHeight="1">
      <c r="A186" s="1" t="s">
        <v>186</v>
      </c>
      <c r="B186" s="1">
        <v>0.54700000000000004</v>
      </c>
      <c r="K186" s="2"/>
    </row>
    <row r="187" spans="1:11" ht="17.100000000000001" customHeight="1">
      <c r="A187" s="1" t="s">
        <v>187</v>
      </c>
      <c r="B187" s="1">
        <v>0.54700000000000004</v>
      </c>
      <c r="K187" s="2"/>
    </row>
    <row r="188" spans="1:11" ht="17.100000000000001" customHeight="1">
      <c r="A188" s="1" t="s">
        <v>188</v>
      </c>
      <c r="B188" s="1">
        <v>0.54700000000000004</v>
      </c>
      <c r="K188" s="2"/>
    </row>
    <row r="189" spans="1:11" ht="17.100000000000001" customHeight="1">
      <c r="A189" s="1" t="s">
        <v>189</v>
      </c>
      <c r="B189" s="1">
        <v>0.54700000000000004</v>
      </c>
      <c r="K189" s="2"/>
    </row>
    <row r="190" spans="1:11" ht="17.100000000000001" customHeight="1">
      <c r="A190" s="1" t="s">
        <v>190</v>
      </c>
      <c r="B190" s="1">
        <v>1.25</v>
      </c>
      <c r="K190" s="2"/>
    </row>
    <row r="191" spans="1:11" ht="17.100000000000001" customHeight="1">
      <c r="A191" s="1" t="s">
        <v>191</v>
      </c>
      <c r="B191" s="1">
        <v>1.2470000000000001</v>
      </c>
      <c r="K191" s="2"/>
    </row>
    <row r="192" spans="1:11" ht="17.100000000000001" customHeight="1">
      <c r="A192" s="1" t="s">
        <v>192</v>
      </c>
      <c r="B192" s="1">
        <v>1.246</v>
      </c>
      <c r="K192" s="2"/>
    </row>
    <row r="193" spans="1:11" ht="17.100000000000001" customHeight="1">
      <c r="A193" s="1" t="s">
        <v>193</v>
      </c>
      <c r="B193" s="1">
        <v>1.246</v>
      </c>
      <c r="K193" s="2"/>
    </row>
    <row r="194" spans="1:11" ht="17.100000000000001" customHeight="1">
      <c r="A194" s="1" t="s">
        <v>194</v>
      </c>
      <c r="B194" s="1">
        <v>-0.372</v>
      </c>
      <c r="K194" s="2"/>
    </row>
    <row r="195" spans="1:11" ht="17.100000000000001" customHeight="1">
      <c r="A195" s="1" t="s">
        <v>195</v>
      </c>
      <c r="B195" s="1">
        <v>-0.38</v>
      </c>
      <c r="K195" s="2"/>
    </row>
    <row r="196" spans="1:11" ht="17.100000000000001" customHeight="1">
      <c r="A196" s="1" t="s">
        <v>196</v>
      </c>
      <c r="B196" s="1">
        <v>-0.38100000000000001</v>
      </c>
      <c r="K196" s="2"/>
    </row>
    <row r="197" spans="1:11" ht="17.100000000000001" customHeight="1">
      <c r="A197" s="1" t="s">
        <v>197</v>
      </c>
      <c r="B197" s="1">
        <v>-0.38100000000000001</v>
      </c>
      <c r="K197" s="2"/>
    </row>
    <row r="198" spans="1:11" ht="17.100000000000001" customHeight="1">
      <c r="A198" s="1" t="s">
        <v>198</v>
      </c>
      <c r="B198" s="1">
        <v>0.16900000000000001</v>
      </c>
      <c r="K198" s="2"/>
    </row>
    <row r="199" spans="1:11" ht="17.100000000000001" customHeight="1">
      <c r="A199" s="1" t="s">
        <v>199</v>
      </c>
      <c r="B199" s="1">
        <v>0.14399999999999999</v>
      </c>
      <c r="K199" s="2"/>
    </row>
    <row r="200" spans="1:11" ht="17.100000000000001" customHeight="1">
      <c r="A200" s="1" t="s">
        <v>200</v>
      </c>
      <c r="B200" s="1">
        <v>0.14199999999999999</v>
      </c>
      <c r="K200" s="2"/>
    </row>
    <row r="201" spans="1:11" ht="17.100000000000001" customHeight="1">
      <c r="A201" s="1" t="s">
        <v>201</v>
      </c>
      <c r="B201" s="1">
        <v>0.14199999999999999</v>
      </c>
      <c r="K201" s="2"/>
    </row>
    <row r="202" spans="1:11" ht="17.100000000000001" customHeight="1">
      <c r="A202" s="1" t="s">
        <v>202</v>
      </c>
      <c r="B202" s="1">
        <v>-2.1999999999999999E-2</v>
      </c>
      <c r="K202" s="2"/>
    </row>
    <row r="203" spans="1:11" ht="17.100000000000001" customHeight="1">
      <c r="A203" s="1" t="s">
        <v>203</v>
      </c>
      <c r="B203" s="1">
        <v>-3.9E-2</v>
      </c>
      <c r="K203" s="2"/>
    </row>
    <row r="204" spans="1:11" ht="17.100000000000001" customHeight="1">
      <c r="A204" s="1" t="s">
        <v>204</v>
      </c>
      <c r="B204" s="1">
        <v>-0.04</v>
      </c>
      <c r="K204" s="2"/>
    </row>
    <row r="205" spans="1:11" ht="17.100000000000001" customHeight="1">
      <c r="A205" s="1" t="s">
        <v>205</v>
      </c>
      <c r="B205" s="1">
        <v>-0.04</v>
      </c>
      <c r="K205" s="2"/>
    </row>
    <row r="206" spans="1:11" ht="17.100000000000001" customHeight="1">
      <c r="A206" s="1" t="s">
        <v>206</v>
      </c>
      <c r="B206" s="1">
        <v>0.5</v>
      </c>
      <c r="K206" s="2"/>
    </row>
    <row r="207" spans="1:11" ht="17.100000000000001" customHeight="1">
      <c r="A207" s="1" t="s">
        <v>207</v>
      </c>
      <c r="B207" s="1">
        <v>0.45800000000000002</v>
      </c>
      <c r="K207" s="2"/>
    </row>
    <row r="208" spans="1:11" ht="17.100000000000001" customHeight="1">
      <c r="A208" s="1" t="s">
        <v>208</v>
      </c>
      <c r="B208" s="1">
        <v>0.45300000000000001</v>
      </c>
      <c r="K208" s="2"/>
    </row>
    <row r="209" spans="1:11" ht="17.100000000000001" customHeight="1">
      <c r="A209" s="1" t="s">
        <v>209</v>
      </c>
      <c r="B209" s="1">
        <v>0.45300000000000001</v>
      </c>
      <c r="K209" s="2"/>
    </row>
    <row r="210" spans="1:11" ht="17.100000000000001" customHeight="1">
      <c r="A210" s="1" t="s">
        <v>210</v>
      </c>
      <c r="B210" s="1">
        <v>-1.169</v>
      </c>
      <c r="K210" s="2"/>
    </row>
    <row r="211" spans="1:11" ht="17.100000000000001" customHeight="1">
      <c r="A211" s="1" t="s">
        <v>211</v>
      </c>
      <c r="B211" s="1">
        <v>-1.2370000000000001</v>
      </c>
      <c r="K211" s="2"/>
    </row>
    <row r="212" spans="1:11" ht="17.100000000000001" customHeight="1">
      <c r="A212" s="1" t="s">
        <v>212</v>
      </c>
      <c r="B212" s="1">
        <v>-1.2470000000000001</v>
      </c>
      <c r="K212" s="2"/>
    </row>
    <row r="213" spans="1:11" ht="17.100000000000001" customHeight="1">
      <c r="A213" s="1" t="s">
        <v>213</v>
      </c>
      <c r="B213" s="1">
        <v>-1.248</v>
      </c>
      <c r="K213" s="2"/>
    </row>
    <row r="214" spans="1:11" ht="17.100000000000001" customHeight="1">
      <c r="A214" s="1" t="s">
        <v>214</v>
      </c>
      <c r="B214" s="1">
        <v>-0.61099999999999999</v>
      </c>
      <c r="K214" s="2"/>
    </row>
    <row r="215" spans="1:11" ht="17.100000000000001" customHeight="1">
      <c r="A215" s="1" t="s">
        <v>215</v>
      </c>
      <c r="B215" s="1">
        <v>-0.73199999999999998</v>
      </c>
      <c r="K215" s="2"/>
    </row>
    <row r="216" spans="1:11" ht="17.100000000000001" customHeight="1">
      <c r="A216" s="1" t="s">
        <v>216</v>
      </c>
      <c r="B216" s="1">
        <v>-0.75600000000000001</v>
      </c>
      <c r="K216" s="2"/>
    </row>
    <row r="217" spans="1:11" ht="17.100000000000001" customHeight="1">
      <c r="A217" s="1" t="s">
        <v>217</v>
      </c>
      <c r="B217" s="1">
        <v>-0.75800000000000001</v>
      </c>
      <c r="K217" s="2"/>
    </row>
    <row r="218" spans="1:11" ht="17.100000000000001" customHeight="1">
      <c r="A218" s="1" t="s">
        <v>218</v>
      </c>
      <c r="B218" s="1">
        <v>0.29599999999999999</v>
      </c>
      <c r="K218" s="2"/>
    </row>
    <row r="219" spans="1:11" ht="17.100000000000001" customHeight="1">
      <c r="A219" s="1" t="s">
        <v>219</v>
      </c>
      <c r="B219" s="1">
        <v>0.26600000000000001</v>
      </c>
      <c r="K219" s="2"/>
    </row>
    <row r="220" spans="1:11" ht="17.100000000000001" customHeight="1">
      <c r="A220" s="1" t="s">
        <v>220</v>
      </c>
      <c r="B220" s="1">
        <v>0.26300000000000001</v>
      </c>
      <c r="K220" s="2"/>
    </row>
    <row r="221" spans="1:11" ht="17.100000000000001" customHeight="1">
      <c r="A221" s="1" t="s">
        <v>221</v>
      </c>
      <c r="B221" s="1">
        <v>0.26300000000000001</v>
      </c>
      <c r="K221" s="2"/>
    </row>
    <row r="222" spans="1:11" ht="17.100000000000001" customHeight="1">
      <c r="A222" s="1" t="s">
        <v>222</v>
      </c>
      <c r="B222" s="1">
        <v>0.83099999999999996</v>
      </c>
      <c r="K222" s="2"/>
    </row>
    <row r="223" spans="1:11" ht="17.100000000000001" customHeight="1">
      <c r="A223" s="1" t="s">
        <v>223</v>
      </c>
      <c r="B223" s="1">
        <v>0.76300000000000001</v>
      </c>
      <c r="K223" s="2"/>
    </row>
    <row r="224" spans="1:11" ht="17.100000000000001" customHeight="1">
      <c r="A224" s="1" t="s">
        <v>224</v>
      </c>
      <c r="B224" s="1">
        <v>0.753</v>
      </c>
      <c r="K224" s="2"/>
    </row>
    <row r="225" spans="1:11" ht="17.100000000000001" customHeight="1">
      <c r="A225" s="1" t="s">
        <v>225</v>
      </c>
      <c r="B225" s="1">
        <v>0.752</v>
      </c>
      <c r="K225" s="2"/>
    </row>
    <row r="226" spans="1:11" ht="17.100000000000001" customHeight="1">
      <c r="A226" s="1" t="s">
        <v>226</v>
      </c>
      <c r="B226" s="1">
        <v>-0.83099999999999996</v>
      </c>
      <c r="K226" s="2"/>
    </row>
    <row r="227" spans="1:11" ht="17.100000000000001" customHeight="1">
      <c r="A227" s="1" t="s">
        <v>227</v>
      </c>
      <c r="B227" s="1">
        <v>-0.93500000000000005</v>
      </c>
      <c r="K227" s="2"/>
    </row>
    <row r="228" spans="1:11" ht="17.100000000000001" customHeight="1">
      <c r="A228" s="1" t="s">
        <v>228</v>
      </c>
      <c r="B228" s="1">
        <v>-0.95199999999999996</v>
      </c>
      <c r="K228" s="2"/>
    </row>
    <row r="229" spans="1:11" ht="17.100000000000001" customHeight="1">
      <c r="A229" s="1" t="s">
        <v>229</v>
      </c>
      <c r="B229" s="1">
        <v>-0.95399999999999996</v>
      </c>
      <c r="K229" s="2"/>
    </row>
    <row r="230" spans="1:11" ht="17.100000000000001" customHeight="1">
      <c r="A230" s="1" t="s">
        <v>230</v>
      </c>
      <c r="B230" s="1">
        <v>-0.29599999999999999</v>
      </c>
      <c r="K230" s="2"/>
    </row>
    <row r="231" spans="1:11" ht="17.100000000000001" customHeight="1">
      <c r="A231" s="1" t="s">
        <v>231</v>
      </c>
      <c r="B231" s="1">
        <v>-0.46300000000000002</v>
      </c>
      <c r="K231" s="2"/>
    </row>
    <row r="232" spans="1:11" ht="17.100000000000001" customHeight="1">
      <c r="A232" s="1" t="s">
        <v>232</v>
      </c>
      <c r="B232" s="1">
        <v>-0.5</v>
      </c>
      <c r="K232" s="2"/>
    </row>
    <row r="233" spans="1:11" ht="17.100000000000001" customHeight="1">
      <c r="A233" s="1" t="s">
        <v>233</v>
      </c>
      <c r="B233" s="1">
        <v>-0.504</v>
      </c>
      <c r="K233" s="2"/>
    </row>
    <row r="234" spans="1:11" ht="17.100000000000001" customHeight="1">
      <c r="A234" s="1" t="s">
        <v>234</v>
      </c>
      <c r="B234" s="1">
        <v>-0.5</v>
      </c>
      <c r="K234" s="2"/>
    </row>
    <row r="235" spans="1:11" ht="17.100000000000001" customHeight="1">
      <c r="A235" s="1" t="s">
        <v>235</v>
      </c>
      <c r="B235" s="1">
        <v>-0.64800000000000002</v>
      </c>
      <c r="K235" s="2"/>
    </row>
    <row r="236" spans="1:11" ht="17.100000000000001" customHeight="1">
      <c r="A236" s="1" t="s">
        <v>236</v>
      </c>
      <c r="B236" s="1">
        <v>-0.67800000000000005</v>
      </c>
      <c r="K236" s="2"/>
    </row>
    <row r="237" spans="1:11" ht="17.100000000000001" customHeight="1">
      <c r="A237" s="1" t="s">
        <v>237</v>
      </c>
      <c r="B237" s="1">
        <v>-0.68100000000000005</v>
      </c>
      <c r="K237" s="2"/>
    </row>
    <row r="238" spans="1:11" ht="17.100000000000001" customHeight="1">
      <c r="A238" s="1" t="s">
        <v>238</v>
      </c>
      <c r="B238" s="1">
        <v>4.2999999999999997E-2</v>
      </c>
      <c r="K238" s="2"/>
    </row>
    <row r="239" spans="1:11" ht="17.100000000000001" customHeight="1">
      <c r="A239" s="1" t="s">
        <v>239</v>
      </c>
      <c r="B239" s="1">
        <v>-0.187</v>
      </c>
      <c r="K239" s="2"/>
    </row>
    <row r="240" spans="1:11" ht="17.100000000000001" customHeight="1">
      <c r="A240" s="1" t="s">
        <v>240</v>
      </c>
      <c r="B240" s="1">
        <v>-0.24399999999999999</v>
      </c>
      <c r="K240" s="2"/>
    </row>
    <row r="241" spans="1:11" ht="17.100000000000001" customHeight="1">
      <c r="A241" s="1" t="s">
        <v>241</v>
      </c>
      <c r="B241" s="1">
        <v>-0.252</v>
      </c>
      <c r="K241" s="2"/>
    </row>
    <row r="242" spans="1:11" ht="17.100000000000001" customHeight="1">
      <c r="A242" s="1" t="s">
        <v>242</v>
      </c>
      <c r="B242" s="1">
        <v>-1.603</v>
      </c>
      <c r="K242" s="2"/>
    </row>
    <row r="243" spans="1:11" ht="17.100000000000001" customHeight="1">
      <c r="A243" s="1" t="s">
        <v>243</v>
      </c>
      <c r="B243" s="1">
        <v>-1.917</v>
      </c>
      <c r="K243" s="2"/>
    </row>
    <row r="244" spans="1:11" ht="17.100000000000001" customHeight="1">
      <c r="A244" s="1" t="s">
        <v>244</v>
      </c>
      <c r="B244" s="1">
        <v>-2</v>
      </c>
      <c r="K244" s="2"/>
    </row>
    <row r="245" spans="1:11" ht="17.100000000000001" customHeight="1">
      <c r="A245" s="1" t="s">
        <v>245</v>
      </c>
      <c r="B245" s="1">
        <v>-2.0139999999999998</v>
      </c>
      <c r="K245" s="2"/>
    </row>
    <row r="246" spans="1:11" ht="17.100000000000001" customHeight="1">
      <c r="A246" s="1" t="s">
        <v>246</v>
      </c>
      <c r="B246" s="1">
        <v>-0.89300000000000002</v>
      </c>
      <c r="K246" s="2"/>
    </row>
    <row r="247" spans="1:11" ht="17.100000000000001" customHeight="1">
      <c r="A247" s="1" t="s">
        <v>247</v>
      </c>
      <c r="B247" s="1">
        <v>-1.329</v>
      </c>
      <c r="K247" s="2"/>
    </row>
    <row r="248" spans="1:11" ht="17.100000000000001" customHeight="1">
      <c r="A248" s="1" t="s">
        <v>248</v>
      </c>
      <c r="B248" s="1">
        <v>-1.4650000000000001</v>
      </c>
      <c r="K248" s="2"/>
    </row>
    <row r="249" spans="1:11" ht="17.100000000000001" customHeight="1">
      <c r="A249" s="1" t="s">
        <v>249</v>
      </c>
      <c r="B249" s="1">
        <v>-1.496</v>
      </c>
      <c r="K249" s="2"/>
    </row>
  </sheetData>
  <sheetProtection password="CCD7" sheet="1" objects="1" scenarios="1" selectLockedCells="1"/>
  <phoneticPr fontId="1" type="noConversion"/>
  <printOptions gridLines="1" gridLinesSet="0"/>
  <pageMargins left="0.75" right="0.75" top="1" bottom="1" header="0.5" footer="0.5"/>
  <pageSetup orientation="landscape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values_analysis</vt:lpstr>
    </vt:vector>
  </TitlesOfParts>
  <Company>Taylor Lab - Tulane University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McCall</dc:creator>
  <cp:lastModifiedBy>Sandoval Ortega, Raquel Adaia</cp:lastModifiedBy>
  <cp:lastPrinted>2005-02-28T18:10:56Z</cp:lastPrinted>
  <dcterms:created xsi:type="dcterms:W3CDTF">2004-11-04T23:30:39Z</dcterms:created>
  <dcterms:modified xsi:type="dcterms:W3CDTF">2024-02-07T14:25:41Z</dcterms:modified>
</cp:coreProperties>
</file>